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oham\OneDrive\Desktop\"/>
    </mc:Choice>
  </mc:AlternateContent>
  <bookViews>
    <workbookView xWindow="0" yWindow="0" windowWidth="20490" windowHeight="71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00" i="1" l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<sst xmlns="http://schemas.openxmlformats.org/spreadsheetml/2006/main" count="4005" uniqueCount="543">
  <si>
    <t>Name</t>
  </si>
  <si>
    <t>Age</t>
  </si>
  <si>
    <t>Gender</t>
  </si>
  <si>
    <t>Blood Type</t>
  </si>
  <si>
    <t>Medical Condition</t>
  </si>
  <si>
    <t>Date of Admission</t>
  </si>
  <si>
    <t>Insurance Provider</t>
  </si>
  <si>
    <t>Billing Amount</t>
  </si>
  <si>
    <t>Admission Type</t>
  </si>
  <si>
    <t>Discharge Date</t>
  </si>
  <si>
    <t>Medication</t>
  </si>
  <si>
    <t>Test Results</t>
  </si>
  <si>
    <t>Years</t>
  </si>
  <si>
    <t>Bobby Jackson</t>
  </si>
  <si>
    <t>Male</t>
  </si>
  <si>
    <t>B-</t>
  </si>
  <si>
    <t>Cancer</t>
  </si>
  <si>
    <t>Blue Cross</t>
  </si>
  <si>
    <t>Urgent</t>
  </si>
  <si>
    <t>Paracetamol</t>
  </si>
  <si>
    <t>Normal</t>
  </si>
  <si>
    <t>Leslie Terry</t>
  </si>
  <si>
    <t>A+</t>
  </si>
  <si>
    <t>Obesity</t>
  </si>
  <si>
    <t>Medicare</t>
  </si>
  <si>
    <t>Emergency</t>
  </si>
  <si>
    <t>Ibuprofen</t>
  </si>
  <si>
    <t>Inconclusive</t>
  </si>
  <si>
    <t>Danny Smith</t>
  </si>
  <si>
    <t>Female</t>
  </si>
  <si>
    <t>A-</t>
  </si>
  <si>
    <t>Aetna</t>
  </si>
  <si>
    <t>Aspirin</t>
  </si>
  <si>
    <t>Andrew Watts</t>
  </si>
  <si>
    <t>O+</t>
  </si>
  <si>
    <t>Diabetes</t>
  </si>
  <si>
    <t>Elective</t>
  </si>
  <si>
    <t>Abnormal</t>
  </si>
  <si>
    <t>Adrienne Bell</t>
  </si>
  <si>
    <t>AB+</t>
  </si>
  <si>
    <t>Penicillin</t>
  </si>
  <si>
    <t>Emily Johnson</t>
  </si>
  <si>
    <t>Asthma</t>
  </si>
  <si>
    <t>UnitedHealthcare</t>
  </si>
  <si>
    <t>Edward Edwards</t>
  </si>
  <si>
    <t>AB-</t>
  </si>
  <si>
    <t>Christina Martinez</t>
  </si>
  <si>
    <t>Cigna</t>
  </si>
  <si>
    <t>Jasmine Aguilar</t>
  </si>
  <si>
    <t>Christopher Berg</t>
  </si>
  <si>
    <t>Michelle Daniels</t>
  </si>
  <si>
    <t>Aaron Martinez</t>
  </si>
  <si>
    <t>Hypertension</t>
  </si>
  <si>
    <t>Lipitor</t>
  </si>
  <si>
    <t>Connor Hansen</t>
  </si>
  <si>
    <t>Robert Bauer</t>
  </si>
  <si>
    <t>Brooke Brady</t>
  </si>
  <si>
    <t>Ms. Natalie Gamble</t>
  </si>
  <si>
    <t>Haley Perkins</t>
  </si>
  <si>
    <t>Arthritis</t>
  </si>
  <si>
    <t>Mrs. Jamie Campbell</t>
  </si>
  <si>
    <t>Luke Burgess</t>
  </si>
  <si>
    <t>Daniel Schmidt</t>
  </si>
  <si>
    <t>B+</t>
  </si>
  <si>
    <t>Timothy Burns</t>
  </si>
  <si>
    <t>Christopher Bright</t>
  </si>
  <si>
    <t>Kathryn Stewart</t>
  </si>
  <si>
    <t>Dr. Eileen Thompson</t>
  </si>
  <si>
    <t>Paul Henderson</t>
  </si>
  <si>
    <t>Peter Fitzgerald</t>
  </si>
  <si>
    <t>Cathy Small</t>
  </si>
  <si>
    <t>O-</t>
  </si>
  <si>
    <t>Mr. Kenneth Moore</t>
  </si>
  <si>
    <t>Mary Hunter</t>
  </si>
  <si>
    <t>Joshua Oliver</t>
  </si>
  <si>
    <t>Thomas Martinez</t>
  </si>
  <si>
    <t>James Patterson</t>
  </si>
  <si>
    <t>William Cooper</t>
  </si>
  <si>
    <t>John Hartman</t>
  </si>
  <si>
    <t>Erin Ortega</t>
  </si>
  <si>
    <t>Nicole Rodriguez</t>
  </si>
  <si>
    <t>David Anderson</t>
  </si>
  <si>
    <t>Denise Torres</t>
  </si>
  <si>
    <t>Cassandra Robinson</t>
  </si>
  <si>
    <t>Nicole Lucero</t>
  </si>
  <si>
    <t>Pamela Fernandez</t>
  </si>
  <si>
    <t>Christopher Lee</t>
  </si>
  <si>
    <t>Thomas Morse</t>
  </si>
  <si>
    <t>Mr. Eric Lane</t>
  </si>
  <si>
    <t>Katherine Smith</t>
  </si>
  <si>
    <t>Paul Williams</t>
  </si>
  <si>
    <t>Lynn Martinez</t>
  </si>
  <si>
    <t>Christopher Chapman</t>
  </si>
  <si>
    <t>Chris Frye</t>
  </si>
  <si>
    <t>Kyle Bennett</t>
  </si>
  <si>
    <t>Brandon Collins</t>
  </si>
  <si>
    <t>Michael Liu</t>
  </si>
  <si>
    <t>Stephanie Kent</t>
  </si>
  <si>
    <t>Jesse Banks</t>
  </si>
  <si>
    <t>Alexander Garcia</t>
  </si>
  <si>
    <t>Peggy Lee</t>
  </si>
  <si>
    <t>Tamara Hernandez</t>
  </si>
  <si>
    <t>Mr. David Pierce Md</t>
  </si>
  <si>
    <t>Bethany Moore</t>
  </si>
  <si>
    <t>Michael Mills</t>
  </si>
  <si>
    <t>Kyle Wiley</t>
  </si>
  <si>
    <t>Jacqueline Jordan</t>
  </si>
  <si>
    <t>Ashley Gutierrez</t>
  </si>
  <si>
    <t>Kim Scott</t>
  </si>
  <si>
    <t>Travis Carter</t>
  </si>
  <si>
    <t>Larry Rodgers</t>
  </si>
  <si>
    <t>Nancy Glover</t>
  </si>
  <si>
    <t>Jessica King</t>
  </si>
  <si>
    <t>Christopher Gonzalez</t>
  </si>
  <si>
    <t>Michael Miller</t>
  </si>
  <si>
    <t>Erica Myers</t>
  </si>
  <si>
    <t>Carol Patterson</t>
  </si>
  <si>
    <t>Jose Lopez</t>
  </si>
  <si>
    <t>Kevin Simmons Jr.</t>
  </si>
  <si>
    <t>Duane Haney</t>
  </si>
  <si>
    <t>Jonathan Yates</t>
  </si>
  <si>
    <t>John Thomas</t>
  </si>
  <si>
    <t>Adrian Buckley</t>
  </si>
  <si>
    <t>April Santiago</t>
  </si>
  <si>
    <t>Diane Schultz</t>
  </si>
  <si>
    <t>Timothy Myers</t>
  </si>
  <si>
    <t>Nicole Hughes</t>
  </si>
  <si>
    <t>Chad Moreno</t>
  </si>
  <si>
    <t>Sean Jennings</t>
  </si>
  <si>
    <t>Diane Branch</t>
  </si>
  <si>
    <t>Cindy Orozco</t>
  </si>
  <si>
    <t>Patricia Medina</t>
  </si>
  <si>
    <t>Kayla Padilla</t>
  </si>
  <si>
    <t>Juan Klein</t>
  </si>
  <si>
    <t>William Hill</t>
  </si>
  <si>
    <t>Carl Best</t>
  </si>
  <si>
    <t>Tina Griffin</t>
  </si>
  <si>
    <t>Mr. Tyler Taylor Phd</t>
  </si>
  <si>
    <t>Taylor Howell Dds</t>
  </si>
  <si>
    <t>Michael Martin</t>
  </si>
  <si>
    <t>Heather Miller</t>
  </si>
  <si>
    <t>Catherine Gardner</t>
  </si>
  <si>
    <t>Anne Thompson</t>
  </si>
  <si>
    <t>Todd Cooper</t>
  </si>
  <si>
    <t>Phillip Lyons</t>
  </si>
  <si>
    <t>Mark Ford</t>
  </si>
  <si>
    <t>Marcus Zamora</t>
  </si>
  <si>
    <t>Katie Henry</t>
  </si>
  <si>
    <t>William Morton</t>
  </si>
  <si>
    <t>Katrina Martin</t>
  </si>
  <si>
    <t>Hunter Mckay</t>
  </si>
  <si>
    <t>Dwayne Davis</t>
  </si>
  <si>
    <t>Sarah Caldwell</t>
  </si>
  <si>
    <t>David Higgins</t>
  </si>
  <si>
    <t>Bradley Combs</t>
  </si>
  <si>
    <t>Christina Schmitt</t>
  </si>
  <si>
    <t>Colton Strong</t>
  </si>
  <si>
    <t>Mark Price</t>
  </si>
  <si>
    <t>Suzanne Schneider</t>
  </si>
  <si>
    <t>Michael Hurley</t>
  </si>
  <si>
    <t>Lindsey Lambert</t>
  </si>
  <si>
    <t>Rebecca Parsons</t>
  </si>
  <si>
    <t>Judy Johnson</t>
  </si>
  <si>
    <t>Tonya Campbell</t>
  </si>
  <si>
    <t>James Ross</t>
  </si>
  <si>
    <t>Sara Cook</t>
  </si>
  <si>
    <t>Anne Howell</t>
  </si>
  <si>
    <t>Renee Bailey</t>
  </si>
  <si>
    <t>Jeffrey Turner</t>
  </si>
  <si>
    <t>Dr. Lauren Clark Dds</t>
  </si>
  <si>
    <t>Terry Thomas</t>
  </si>
  <si>
    <t>Jason Baker</t>
  </si>
  <si>
    <t>Jessica Gutierrez</t>
  </si>
  <si>
    <t>Courtney Hodges</t>
  </si>
  <si>
    <t>Anthony Reyes</t>
  </si>
  <si>
    <t>Leah Cross Dds</t>
  </si>
  <si>
    <t>Paul Martinez</t>
  </si>
  <si>
    <t>Denise Rodriguez</t>
  </si>
  <si>
    <t>Ashley Erickson</t>
  </si>
  <si>
    <t>Sean Cardenas</t>
  </si>
  <si>
    <t>Alan Alvarez</t>
  </si>
  <si>
    <t>Jessica Phillips</t>
  </si>
  <si>
    <t>Timothy Coleman</t>
  </si>
  <si>
    <t>Christina Woods</t>
  </si>
  <si>
    <t>Melissa Scott</t>
  </si>
  <si>
    <t>Gary Hopkins</t>
  </si>
  <si>
    <t>April Valencia</t>
  </si>
  <si>
    <t>Rita Archer</t>
  </si>
  <si>
    <t>Kim Pena</t>
  </si>
  <si>
    <t>Jason Foley</t>
  </si>
  <si>
    <t>Shaun Guzman</t>
  </si>
  <si>
    <t>Matthew White</t>
  </si>
  <si>
    <t>Alexis Wilson</t>
  </si>
  <si>
    <t>Jacqueline Marshall</t>
  </si>
  <si>
    <t>Robert Higgins</t>
  </si>
  <si>
    <t>Sierra Morton</t>
  </si>
  <si>
    <t>Natalie Stanton</t>
  </si>
  <si>
    <t>Jessica Acevedo</t>
  </si>
  <si>
    <t>Jennifer Mcmillan</t>
  </si>
  <si>
    <t>Christopher Mcclain</t>
  </si>
  <si>
    <t>Kevin Hicks</t>
  </si>
  <si>
    <t>Melinda Richards</t>
  </si>
  <si>
    <t>Robyn Miranda</t>
  </si>
  <si>
    <t>Scott Castillo</t>
  </si>
  <si>
    <t>John Garcia</t>
  </si>
  <si>
    <t>Michael Taylor</t>
  </si>
  <si>
    <t>Jeffrey Wood</t>
  </si>
  <si>
    <t>Michael Smith</t>
  </si>
  <si>
    <t>William Griffith</t>
  </si>
  <si>
    <t>Christina Lawrence</t>
  </si>
  <si>
    <t>Jessica Holmes</t>
  </si>
  <si>
    <t>Tracey Greene</t>
  </si>
  <si>
    <t>Amanda Lopez</t>
  </si>
  <si>
    <t>Laura Peters</t>
  </si>
  <si>
    <t>Lauren Anderson</t>
  </si>
  <si>
    <t>William Campos</t>
  </si>
  <si>
    <t>Jessica Gonzales</t>
  </si>
  <si>
    <t>Bruce Gonzales</t>
  </si>
  <si>
    <t>Robert Walsh</t>
  </si>
  <si>
    <t>Lisa Lewis</t>
  </si>
  <si>
    <t>William Ruiz</t>
  </si>
  <si>
    <t>Steven Baldwin</t>
  </si>
  <si>
    <t>Megan Colon</t>
  </si>
  <si>
    <t>Kimberly Brooks</t>
  </si>
  <si>
    <t>Michael Anderson</t>
  </si>
  <si>
    <t>Edward Smith Jr.</t>
  </si>
  <si>
    <t>Allison Cordova</t>
  </si>
  <si>
    <t>Linda Thomas</t>
  </si>
  <si>
    <t>Parker Moore</t>
  </si>
  <si>
    <t>Tanya Soto</t>
  </si>
  <si>
    <t>Michael Jordan</t>
  </si>
  <si>
    <t>Christina Martin</t>
  </si>
  <si>
    <t>Tracy Burke</t>
  </si>
  <si>
    <t>David Spence</t>
  </si>
  <si>
    <t>Joseph Foster</t>
  </si>
  <si>
    <t>Nicholas Hall</t>
  </si>
  <si>
    <t>Christina Macias</t>
  </si>
  <si>
    <t>Scott Jones</t>
  </si>
  <si>
    <t>James Anderson</t>
  </si>
  <si>
    <t>Shaun Long</t>
  </si>
  <si>
    <t>Kristina Mora</t>
  </si>
  <si>
    <t>Joshua Richmond</t>
  </si>
  <si>
    <t>Mark Lawrence</t>
  </si>
  <si>
    <t>John Ellis</t>
  </si>
  <si>
    <t>Mrs. Tiffany Dennis</t>
  </si>
  <si>
    <t>Cynthia Huang</t>
  </si>
  <si>
    <t>Melissa Lawrence</t>
  </si>
  <si>
    <t>Steven Goodwin</t>
  </si>
  <si>
    <t>Mary Hunt</t>
  </si>
  <si>
    <t>Eric Rivera</t>
  </si>
  <si>
    <t>Alan Taylor</t>
  </si>
  <si>
    <t>Michael Campbell</t>
  </si>
  <si>
    <t>Ashley Webb Dds</t>
  </si>
  <si>
    <t>Shannon Brown</t>
  </si>
  <si>
    <t>Lawrence Shepherd</t>
  </si>
  <si>
    <t>Scott Wade</t>
  </si>
  <si>
    <t>Heather Curtis</t>
  </si>
  <si>
    <t>Kevin Jefferson</t>
  </si>
  <si>
    <t>David Griffin</t>
  </si>
  <si>
    <t>Grant George</t>
  </si>
  <si>
    <t>Eric Stewart</t>
  </si>
  <si>
    <t>Robert Pittman</t>
  </si>
  <si>
    <t>Sydney Cross</t>
  </si>
  <si>
    <t>David Crawford</t>
  </si>
  <si>
    <t>Leah Drake</t>
  </si>
  <si>
    <t>Diana Hall</t>
  </si>
  <si>
    <t>Justin Le</t>
  </si>
  <si>
    <t>Karen Price Dds</t>
  </si>
  <si>
    <t>Carolyn Steele</t>
  </si>
  <si>
    <t>Lauren Ramirez</t>
  </si>
  <si>
    <t>Jacob Newman</t>
  </si>
  <si>
    <t>Katherine Barnett</t>
  </si>
  <si>
    <t>Jodi Martinez</t>
  </si>
  <si>
    <t>Andrea Allen</t>
  </si>
  <si>
    <t>Noah Baxter</t>
  </si>
  <si>
    <t>Hector Maxwell</t>
  </si>
  <si>
    <t>Holly Walters</t>
  </si>
  <si>
    <t>Joseph Smith</t>
  </si>
  <si>
    <t>Albert Thomas</t>
  </si>
  <si>
    <t>Jeffery Williamson</t>
  </si>
  <si>
    <t>Jonathan Meadows</t>
  </si>
  <si>
    <t>Kristin Bennett</t>
  </si>
  <si>
    <t>Joseph Carpenter</t>
  </si>
  <si>
    <t>Larry Mayer</t>
  </si>
  <si>
    <t>Clayton Peterson</t>
  </si>
  <si>
    <t>Donald Alvarez</t>
  </si>
  <si>
    <t>Sarah Lee</t>
  </si>
  <si>
    <t>John Perez</t>
  </si>
  <si>
    <t>Timothy Jacobs</t>
  </si>
  <si>
    <t>Nathan Small</t>
  </si>
  <si>
    <t>Dustin Wright</t>
  </si>
  <si>
    <t>Jacob Williams</t>
  </si>
  <si>
    <t>William Mccoy</t>
  </si>
  <si>
    <t>Dr. Matthew Wilkins</t>
  </si>
  <si>
    <t>Joseph Gonzalez</t>
  </si>
  <si>
    <t>Robert Fields</t>
  </si>
  <si>
    <t>Lawrence Miranda</t>
  </si>
  <si>
    <t>Mitchell Carroll</t>
  </si>
  <si>
    <t>Cody Nichols</t>
  </si>
  <si>
    <t>Kelli Thompson</t>
  </si>
  <si>
    <t>Danielle Lopez</t>
  </si>
  <si>
    <t>Melinda Jones</t>
  </si>
  <si>
    <t>Kristin Smith</t>
  </si>
  <si>
    <t>Stephanie Reynolds</t>
  </si>
  <si>
    <t>Anna Norman</t>
  </si>
  <si>
    <t>Maria Hayes</t>
  </si>
  <si>
    <t>Tonya Riley Md</t>
  </si>
  <si>
    <t>Regina Dunn</t>
  </si>
  <si>
    <t>Michael Jacobs</t>
  </si>
  <si>
    <t>Jason Moore Md</t>
  </si>
  <si>
    <t>Eric Hall</t>
  </si>
  <si>
    <t>Malik Martinez</t>
  </si>
  <si>
    <t>Lisa Kennedy</t>
  </si>
  <si>
    <t>Kristin Ochoa</t>
  </si>
  <si>
    <t>Joseph Zuniga</t>
  </si>
  <si>
    <t>Kyle Tyler</t>
  </si>
  <si>
    <t>Eric Duncan</t>
  </si>
  <si>
    <t>Rachel Romero</t>
  </si>
  <si>
    <t>Emily Clark</t>
  </si>
  <si>
    <t>Daniel Mckinney</t>
  </si>
  <si>
    <t>Bonnie Williams</t>
  </si>
  <si>
    <t>Marcus Henry</t>
  </si>
  <si>
    <t>Katherine Hart</t>
  </si>
  <si>
    <t>Michelle Pierce</t>
  </si>
  <si>
    <t>Julie Mejia</t>
  </si>
  <si>
    <t>Cameron Sanchez</t>
  </si>
  <si>
    <t>David Vincent</t>
  </si>
  <si>
    <t>Melissa Gomez</t>
  </si>
  <si>
    <t>Amanda Ponce</t>
  </si>
  <si>
    <t>Carol Gomez</t>
  </si>
  <si>
    <t>Christopher Palmer</t>
  </si>
  <si>
    <t>Paul Hahn</t>
  </si>
  <si>
    <t>Ashley Moore</t>
  </si>
  <si>
    <t>Linda Hamilton</t>
  </si>
  <si>
    <t>Robin Cox</t>
  </si>
  <si>
    <t>Anthony Hall</t>
  </si>
  <si>
    <t>Robert Smith</t>
  </si>
  <si>
    <t>Derek Carter</t>
  </si>
  <si>
    <t>Heather May</t>
  </si>
  <si>
    <t>Peter Gonzalez</t>
  </si>
  <si>
    <t>Chris Fletcher</t>
  </si>
  <si>
    <t>Shirley Wilkinson</t>
  </si>
  <si>
    <t>Courtney Farrell</t>
  </si>
  <si>
    <t>Andrea Willis</t>
  </si>
  <si>
    <t>Chad Huff</t>
  </si>
  <si>
    <t>Devin Gilbert</t>
  </si>
  <si>
    <t>Donald Davis</t>
  </si>
  <si>
    <t>Kurt Murphy</t>
  </si>
  <si>
    <t>Sylvia West</t>
  </si>
  <si>
    <t>Donald Vazquez</t>
  </si>
  <si>
    <t>Rebecca Rush</t>
  </si>
  <si>
    <t>Christopher Curry</t>
  </si>
  <si>
    <t>Michael Edwards</t>
  </si>
  <si>
    <t>Christopher Arnold</t>
  </si>
  <si>
    <t>Rachel Hickman</t>
  </si>
  <si>
    <t>Ashley Gray</t>
  </si>
  <si>
    <t>Elizabeth Perez</t>
  </si>
  <si>
    <t>Angel Randolph Dds</t>
  </si>
  <si>
    <t>Mark Saunders</t>
  </si>
  <si>
    <t>Christian Lang</t>
  </si>
  <si>
    <t>Pam Perkins</t>
  </si>
  <si>
    <t>Kayla Greene</t>
  </si>
  <si>
    <t>Michael David</t>
  </si>
  <si>
    <t>Alexis Mccall</t>
  </si>
  <si>
    <t>Mr. Brandon Perez Md</t>
  </si>
  <si>
    <t>Dr. Jeffrey Cole</t>
  </si>
  <si>
    <t>Matthew Brown</t>
  </si>
  <si>
    <t>Robert Sexton</t>
  </si>
  <si>
    <t>Ashley Vasquez</t>
  </si>
  <si>
    <t>Michelle Flynn</t>
  </si>
  <si>
    <t>Steven Tran</t>
  </si>
  <si>
    <t>James Miller</t>
  </si>
  <si>
    <t>Bonnie Hill</t>
  </si>
  <si>
    <t>Anthony Davis</t>
  </si>
  <si>
    <t>David Sheppard</t>
  </si>
  <si>
    <t>Jodi Lang</t>
  </si>
  <si>
    <t>Vanessa Taylor</t>
  </si>
  <si>
    <t>Wayne Lynch</t>
  </si>
  <si>
    <t>Yesenia Mcfarland</t>
  </si>
  <si>
    <t>Kenneth Wilson</t>
  </si>
  <si>
    <t>Jillian Marks</t>
  </si>
  <si>
    <t>Michelle Cruz Dds</t>
  </si>
  <si>
    <t>Clarence Ford Jr.</t>
  </si>
  <si>
    <t>Donald Kane</t>
  </si>
  <si>
    <t>Zachary Larsen</t>
  </si>
  <si>
    <t>Sheryl Martinez</t>
  </si>
  <si>
    <t>Mr. Nathan Avila</t>
  </si>
  <si>
    <t>Anne Anthony</t>
  </si>
  <si>
    <t>Holly Lambert</t>
  </si>
  <si>
    <t>James Rasmussen</t>
  </si>
  <si>
    <t>Sarah Cannon</t>
  </si>
  <si>
    <t>Melinda Tanner</t>
  </si>
  <si>
    <t>Laurie Joseph</t>
  </si>
  <si>
    <t>Stephanie Hunter</t>
  </si>
  <si>
    <t>Gina Davis</t>
  </si>
  <si>
    <t>Christopher Shea Jr.</t>
  </si>
  <si>
    <t>Mrs. Sabrina Ball</t>
  </si>
  <si>
    <t>Joyce Mccormick</t>
  </si>
  <si>
    <t>Devin Bell</t>
  </si>
  <si>
    <t>Allison Ramirez</t>
  </si>
  <si>
    <t>Laura Romero</t>
  </si>
  <si>
    <t>Toni Faulkner</t>
  </si>
  <si>
    <t>Patricia Turner</t>
  </si>
  <si>
    <t>Nathan Ray</t>
  </si>
  <si>
    <t>Ryan Sanchez</t>
  </si>
  <si>
    <t>Thomas Dennis</t>
  </si>
  <si>
    <t>Mr. Timothy Flores</t>
  </si>
  <si>
    <t>Wendy Levine</t>
  </si>
  <si>
    <t>Nicole Gonzalez</t>
  </si>
  <si>
    <t>Michael Ellison</t>
  </si>
  <si>
    <t>Brandon Davis</t>
  </si>
  <si>
    <t>Vanessa Garcia</t>
  </si>
  <si>
    <t>Autumn Peck</t>
  </si>
  <si>
    <t>Nathaniel Reynolds</t>
  </si>
  <si>
    <t>Joyce Moody</t>
  </si>
  <si>
    <t>Mark Fuentes</t>
  </si>
  <si>
    <t>Brett Ferguson</t>
  </si>
  <si>
    <t>Travis Simmons</t>
  </si>
  <si>
    <t>Jeremy Frye</t>
  </si>
  <si>
    <t>Cameron Miller</t>
  </si>
  <si>
    <t>William Williams Dds</t>
  </si>
  <si>
    <t>Tracie Wright</t>
  </si>
  <si>
    <t>David Reyes</t>
  </si>
  <si>
    <t>Paige King</t>
  </si>
  <si>
    <t>James Garcia</t>
  </si>
  <si>
    <t>Lori Harvey</t>
  </si>
  <si>
    <t>Amy Wang</t>
  </si>
  <si>
    <t>Jordan Vargas</t>
  </si>
  <si>
    <t>Gordon Kelly</t>
  </si>
  <si>
    <t>Nathan Scott</t>
  </si>
  <si>
    <t>Lisa Green</t>
  </si>
  <si>
    <t>Amy Combs</t>
  </si>
  <si>
    <t>Kelly Sanford</t>
  </si>
  <si>
    <t>Mrs. Jessica Black Md</t>
  </si>
  <si>
    <t>Robert Gould</t>
  </si>
  <si>
    <t>Christine Vargas</t>
  </si>
  <si>
    <t>Barbara Diaz</t>
  </si>
  <si>
    <t>John Washington</t>
  </si>
  <si>
    <t>Devin Stewart</t>
  </si>
  <si>
    <t>James Roberts</t>
  </si>
  <si>
    <t>James Yates</t>
  </si>
  <si>
    <t>Peter Nichols</t>
  </si>
  <si>
    <t>Karen Price</t>
  </si>
  <si>
    <t>Christopher Jones</t>
  </si>
  <si>
    <t>Larry Leonard</t>
  </si>
  <si>
    <t>Michelle Zhang</t>
  </si>
  <si>
    <t>Kristen Flores</t>
  </si>
  <si>
    <t>Matthew Bell</t>
  </si>
  <si>
    <t>Bradley Miranda</t>
  </si>
  <si>
    <t>Christopher Moore</t>
  </si>
  <si>
    <t>Dan Pineda</t>
  </si>
  <si>
    <t>Mariah Smith</t>
  </si>
  <si>
    <t>Sabrina Cook</t>
  </si>
  <si>
    <t>Melissa Hoffman</t>
  </si>
  <si>
    <t>Joseph Martin</t>
  </si>
  <si>
    <t>Melissa Sims</t>
  </si>
  <si>
    <t>Sarah Evans</t>
  </si>
  <si>
    <t>Maria Anderson</t>
  </si>
  <si>
    <t>Maria Johnston</t>
  </si>
  <si>
    <t>James Cole</t>
  </si>
  <si>
    <t>Isaiah Holt</t>
  </si>
  <si>
    <t>Joseph Gonzales</t>
  </si>
  <si>
    <t>Jennifer Camacho</t>
  </si>
  <si>
    <t>Hector Jones</t>
  </si>
  <si>
    <t>Jessica Jones Dds</t>
  </si>
  <si>
    <t>Isabella Martin</t>
  </si>
  <si>
    <t>Daniel Palmer</t>
  </si>
  <si>
    <t>Stephanie Benson</t>
  </si>
  <si>
    <t>Ashley Williams</t>
  </si>
  <si>
    <t>Gregory Nguyen</t>
  </si>
  <si>
    <t>Joe Smith</t>
  </si>
  <si>
    <t>Lisa Watts</t>
  </si>
  <si>
    <t>Elizabeth Perkins</t>
  </si>
  <si>
    <t>Laura Wells</t>
  </si>
  <si>
    <t>Robert Mccormick</t>
  </si>
  <si>
    <t>Michael Yu</t>
  </si>
  <si>
    <t>Jacob Graham</t>
  </si>
  <si>
    <t>Andrea Kennedy</t>
  </si>
  <si>
    <t>Stacey Anderson</t>
  </si>
  <si>
    <t>Jason Marsh</t>
  </si>
  <si>
    <t>Tiffany Ferguson</t>
  </si>
  <si>
    <t>Mark Hernandez</t>
  </si>
  <si>
    <t>Keith Henry</t>
  </si>
  <si>
    <t>Michelle Wright</t>
  </si>
  <si>
    <t>Troy Davis</t>
  </si>
  <si>
    <t>Misty Burton</t>
  </si>
  <si>
    <t>Robert Robinson</t>
  </si>
  <si>
    <t>Christina Calderon</t>
  </si>
  <si>
    <t>John Graham</t>
  </si>
  <si>
    <t>Michael Parker</t>
  </si>
  <si>
    <t>William Evans</t>
  </si>
  <si>
    <t>Valerie Hodges</t>
  </si>
  <si>
    <t>Brenda Beck</t>
  </si>
  <si>
    <t>Christine Davis</t>
  </si>
  <si>
    <t>Kevin Daniel</t>
  </si>
  <si>
    <t>Brittney Wagner</t>
  </si>
  <si>
    <t>Cristian Buchanan</t>
  </si>
  <si>
    <t>Michael Brady</t>
  </si>
  <si>
    <t>Jordan Leon</t>
  </si>
  <si>
    <t>Katelyn Cunningham</t>
  </si>
  <si>
    <t>Krystal Mendoza</t>
  </si>
  <si>
    <t>Alex Rodriguez</t>
  </si>
  <si>
    <t>Geoffrey Barker</t>
  </si>
  <si>
    <t>Alec Mitchell</t>
  </si>
  <si>
    <t>Jason Jordan</t>
  </si>
  <si>
    <t>Philip Reyes</t>
  </si>
  <si>
    <t>Aaron Bradshaw</t>
  </si>
  <si>
    <t>Erica Ford</t>
  </si>
  <si>
    <t>Dr. Katie Barrett Dvm</t>
  </si>
  <si>
    <t>Jacob Young</t>
  </si>
  <si>
    <t>Amy Ramos</t>
  </si>
  <si>
    <t>Patrick Morales</t>
  </si>
  <si>
    <t>Sophia Conway</t>
  </si>
  <si>
    <t>James Moore</t>
  </si>
  <si>
    <t>Christopher Cochran</t>
  </si>
  <si>
    <t>Robert Carter</t>
  </si>
  <si>
    <t>Morgan Nguyen</t>
  </si>
  <si>
    <t>Nathan Montoya</t>
  </si>
  <si>
    <t>Joe Berry Phd</t>
  </si>
  <si>
    <t>Daniel Ortiz</t>
  </si>
  <si>
    <t>Matthew Clark</t>
  </si>
  <si>
    <t>Jacqueline Hardy</t>
  </si>
  <si>
    <t>Emily Joseph</t>
  </si>
  <si>
    <t>Sarah Hicks</t>
  </si>
  <si>
    <t>Briana Ross</t>
  </si>
  <si>
    <t>Mary Mccullough</t>
  </si>
  <si>
    <t>Brian Osborne</t>
  </si>
  <si>
    <t>Susan Walters</t>
  </si>
  <si>
    <t>Catherine Harvey</t>
  </si>
  <si>
    <t>Cory Pierce</t>
  </si>
  <si>
    <t>Jesus Jordan</t>
  </si>
  <si>
    <t>Ann Duncan</t>
  </si>
  <si>
    <t>Sarah Porter</t>
  </si>
  <si>
    <t>Jacqueline Dean</t>
  </si>
  <si>
    <t>Anne Lam</t>
  </si>
  <si>
    <t>Jennifer Gomez</t>
  </si>
  <si>
    <t>David Curtis</t>
  </si>
  <si>
    <t>Joshua Johnson</t>
  </si>
  <si>
    <t>Jeremy Bowen</t>
  </si>
  <si>
    <t>Dennis Clarke</t>
  </si>
  <si>
    <t>Jennifer Spence</t>
  </si>
  <si>
    <t>Billy Fitzgerald</t>
  </si>
  <si>
    <t>Kristen James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</si>
</sst>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Tw Cen MT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" displayName="Table2" ref="A1:M500" totalsRowShown="0">
  <autoFilter ref="A1:M500"/>
  <tableColumns count="13">
    <tableColumn id="1" name="Name"/>
    <tableColumn id="2" name="Age"/>
    <tableColumn id="3" name="Gender"/>
    <tableColumn id="4" name="Blood Type"/>
    <tableColumn id="5" name="Medical Condition"/>
    <tableColumn id="6" name="Date of Admission" dataDxfId="1"/>
    <tableColumn id="9" name="Insurance Provider"/>
    <tableColumn id="10" name="Billing Amount"/>
    <tableColumn id="12" name="Admission Type"/>
    <tableColumn id="13" name="Discharge Date" dataDxfId="0"/>
    <tableColumn id="14" name="Medication"/>
    <tableColumn id="15" name="Test Results"/>
    <tableColumn id="16" name="Years">
      <calculatedColumnFormula>YEAR(Table2[[#This Row],[Date of Admission]])</calculatedColumnFormula>
    </tableColumn>
  </tableColumns>
  <tableStyleInfo name="TableStyleMedium14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ircuit">
  <a:themeElements>
    <a:clrScheme name="Circuit">
      <a:dk1>
        <a:sysClr val="windowText" lastClr="000000"/>
      </a:dk1>
      <a:lt1>
        <a:sysClr val="window" lastClr="FFFFFF"/>
      </a:lt1>
      <a:dk2>
        <a:srgbClr val="134770"/>
      </a:dk2>
      <a:lt2>
        <a:srgbClr val="82FFFF"/>
      </a:lt2>
      <a:accent1>
        <a:srgbClr val="9ACD4C"/>
      </a:accent1>
      <a:accent2>
        <a:srgbClr val="FAA93A"/>
      </a:accent2>
      <a:accent3>
        <a:srgbClr val="D35940"/>
      </a:accent3>
      <a:accent4>
        <a:srgbClr val="B258D3"/>
      </a:accent4>
      <a:accent5>
        <a:srgbClr val="63A0CC"/>
      </a:accent5>
      <a:accent6>
        <a:srgbClr val="8AC4A7"/>
      </a:accent6>
      <a:hlink>
        <a:srgbClr val="B8FA56"/>
      </a:hlink>
      <a:folHlink>
        <a:srgbClr val="7AF8CC"/>
      </a:folHlink>
    </a:clrScheme>
    <a:fontScheme name="Circui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ircuit">
      <a:fillStyleLst>
        <a:solidFill>
          <a:schemeClr val="phClr"/>
        </a:solidFill>
        <a:gradFill rotWithShape="1">
          <a:gsLst>
            <a:gs pos="0">
              <a:schemeClr val="phClr">
                <a:tint val="58000"/>
                <a:satMod val="108000"/>
                <a:lumMod val="110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040000" scaled="0"/>
        </a:gradFill>
        <a:gradFill rotWithShape="1">
          <a:gsLst>
            <a:gs pos="0">
              <a:schemeClr val="phClr">
                <a:tint val="94000"/>
                <a:satMod val="105000"/>
                <a:lumMod val="102000"/>
              </a:schemeClr>
            </a:gs>
            <a:gs pos="100000">
              <a:schemeClr val="phClr">
                <a:shade val="74000"/>
                <a:satMod val="128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94000"/>
                <a:satMod val="148000"/>
                <a:lumMod val="150000"/>
              </a:schemeClr>
            </a:gs>
            <a:gs pos="100000">
              <a:schemeClr val="phClr">
                <a:shade val="92000"/>
                <a:hueMod val="104000"/>
                <a:satMod val="140000"/>
                <a:lumMod val="68000"/>
              </a:schemeClr>
            </a:gs>
          </a:gsLst>
          <a:lin ang="5040000" scaled="0"/>
        </a:gradFill>
        <a:blipFill>
          <a:blip xmlns:r="http://schemas.openxmlformats.org/officeDocument/2006/relationships" r:embed="rId1">
            <a:duotone>
              <a:schemeClr val="phClr">
                <a:shade val="88000"/>
                <a:hueMod val="106000"/>
                <a:satMod val="140000"/>
                <a:lumMod val="54000"/>
              </a:schemeClr>
              <a:schemeClr val="phClr">
                <a:tint val="98000"/>
                <a:hueMod val="90000"/>
                <a:satMod val="150000"/>
                <a:lumMod val="160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ircuit" id="{0AC2F7E7-15F5-431C-B2A2-456FE929F56C}" vid="{0911B802-464C-4241-8DD9-B60FF88E379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0"/>
  <sheetViews>
    <sheetView tabSelected="1" topLeftCell="A2" workbookViewId="0">
      <selection activeCell="B33" sqref="B33"/>
    </sheetView>
  </sheetViews>
  <sheetFormatPr defaultRowHeight="14.25" x14ac:dyDescent="0.2"/>
  <cols>
    <col min="1" max="1" width="19.5" customWidth="1"/>
    <col min="2" max="2" width="13.75" customWidth="1"/>
    <col min="3" max="3" width="15.625" customWidth="1"/>
    <col min="4" max="4" width="16" customWidth="1"/>
    <col min="5" max="5" width="17.75" customWidth="1"/>
    <col min="6" max="6" width="13.5" customWidth="1"/>
    <col min="7" max="7" width="20" customWidth="1"/>
    <col min="8" max="8" width="17.25" customWidth="1"/>
    <col min="9" max="9" width="15.25" customWidth="1"/>
    <col min="10" max="10" width="15.625" customWidth="1"/>
    <col min="11" max="11" width="13.875" customWidth="1"/>
    <col min="12" max="12" width="14.37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>
        <v>30</v>
      </c>
      <c r="C2" t="s">
        <v>14</v>
      </c>
      <c r="D2" t="s">
        <v>15</v>
      </c>
      <c r="E2" t="s">
        <v>16</v>
      </c>
      <c r="F2" s="1">
        <v>45322</v>
      </c>
      <c r="G2" t="s">
        <v>17</v>
      </c>
      <c r="H2">
        <v>18856.2813059781</v>
      </c>
      <c r="I2" t="s">
        <v>18</v>
      </c>
      <c r="J2" s="1">
        <v>45324</v>
      </c>
      <c r="K2" t="s">
        <v>19</v>
      </c>
      <c r="L2" t="s">
        <v>20</v>
      </c>
      <c r="M2">
        <f>YEAR(Table2[[#This Row],[Date of Admission]])</f>
        <v>2024</v>
      </c>
    </row>
    <row r="3" spans="1:13" x14ac:dyDescent="0.2">
      <c r="A3" t="s">
        <v>21</v>
      </c>
      <c r="B3">
        <v>62</v>
      </c>
      <c r="C3" t="s">
        <v>14</v>
      </c>
      <c r="D3" t="s">
        <v>22</v>
      </c>
      <c r="E3" t="s">
        <v>23</v>
      </c>
      <c r="F3" s="1">
        <v>43697</v>
      </c>
      <c r="G3" t="s">
        <v>24</v>
      </c>
      <c r="H3">
        <v>33643.327286577798</v>
      </c>
      <c r="I3" t="s">
        <v>25</v>
      </c>
      <c r="J3" s="1">
        <v>43703</v>
      </c>
      <c r="K3" t="s">
        <v>26</v>
      </c>
      <c r="L3" t="s">
        <v>27</v>
      </c>
      <c r="M3">
        <f>YEAR(Table2[[#This Row],[Date of Admission]])</f>
        <v>2019</v>
      </c>
    </row>
    <row r="4" spans="1:13" x14ac:dyDescent="0.2">
      <c r="A4" t="s">
        <v>28</v>
      </c>
      <c r="B4">
        <v>76</v>
      </c>
      <c r="C4" t="s">
        <v>29</v>
      </c>
      <c r="D4" t="s">
        <v>30</v>
      </c>
      <c r="E4" t="s">
        <v>23</v>
      </c>
      <c r="F4" s="1">
        <v>44826</v>
      </c>
      <c r="G4" t="s">
        <v>31</v>
      </c>
      <c r="H4">
        <v>27955.096078842402</v>
      </c>
      <c r="I4" t="s">
        <v>25</v>
      </c>
      <c r="J4" s="1">
        <v>44841</v>
      </c>
      <c r="K4" t="s">
        <v>32</v>
      </c>
      <c r="L4" t="s">
        <v>20</v>
      </c>
      <c r="M4">
        <f>YEAR(Table2[[#This Row],[Date of Admission]])</f>
        <v>2022</v>
      </c>
    </row>
    <row r="5" spans="1:13" x14ac:dyDescent="0.2">
      <c r="A5" t="s">
        <v>33</v>
      </c>
      <c r="B5">
        <v>28</v>
      </c>
      <c r="C5" t="s">
        <v>29</v>
      </c>
      <c r="D5" t="s">
        <v>34</v>
      </c>
      <c r="E5" t="s">
        <v>35</v>
      </c>
      <c r="F5" s="1">
        <v>44153</v>
      </c>
      <c r="G5" t="s">
        <v>24</v>
      </c>
      <c r="H5">
        <v>37909.782409875203</v>
      </c>
      <c r="I5" t="s">
        <v>36</v>
      </c>
      <c r="J5" s="1">
        <v>44183</v>
      </c>
      <c r="K5" t="s">
        <v>26</v>
      </c>
      <c r="L5" t="s">
        <v>37</v>
      </c>
      <c r="M5">
        <f>YEAR(Table2[[#This Row],[Date of Admission]])</f>
        <v>2020</v>
      </c>
    </row>
    <row r="6" spans="1:13" x14ac:dyDescent="0.2">
      <c r="A6" t="s">
        <v>38</v>
      </c>
      <c r="B6">
        <v>43</v>
      </c>
      <c r="C6" t="s">
        <v>29</v>
      </c>
      <c r="D6" t="s">
        <v>39</v>
      </c>
      <c r="E6" t="s">
        <v>16</v>
      </c>
      <c r="F6" s="1">
        <v>44823</v>
      </c>
      <c r="G6" t="s">
        <v>31</v>
      </c>
      <c r="H6">
        <v>14238.3178139376</v>
      </c>
      <c r="I6" t="s">
        <v>18</v>
      </c>
      <c r="J6" s="1">
        <v>44843</v>
      </c>
      <c r="K6" t="s">
        <v>40</v>
      </c>
      <c r="L6" t="s">
        <v>37</v>
      </c>
      <c r="M6">
        <f>YEAR(Table2[[#This Row],[Date of Admission]])</f>
        <v>2022</v>
      </c>
    </row>
    <row r="7" spans="1:13" x14ac:dyDescent="0.2">
      <c r="A7" t="s">
        <v>41</v>
      </c>
      <c r="B7">
        <v>36</v>
      </c>
      <c r="C7" t="s">
        <v>14</v>
      </c>
      <c r="D7" t="s">
        <v>22</v>
      </c>
      <c r="E7" t="s">
        <v>42</v>
      </c>
      <c r="F7" s="1">
        <v>45280</v>
      </c>
      <c r="G7" t="s">
        <v>43</v>
      </c>
      <c r="H7">
        <v>48145.110951041803</v>
      </c>
      <c r="I7" t="s">
        <v>18</v>
      </c>
      <c r="J7" s="1">
        <v>45284</v>
      </c>
      <c r="K7" t="s">
        <v>26</v>
      </c>
      <c r="L7" t="s">
        <v>20</v>
      </c>
      <c r="M7">
        <f>YEAR(Table2[[#This Row],[Date of Admission]])</f>
        <v>2023</v>
      </c>
    </row>
    <row r="8" spans="1:13" x14ac:dyDescent="0.2">
      <c r="A8" t="s">
        <v>44</v>
      </c>
      <c r="B8">
        <v>21</v>
      </c>
      <c r="C8" t="s">
        <v>29</v>
      </c>
      <c r="D8" t="s">
        <v>45</v>
      </c>
      <c r="E8" t="s">
        <v>35</v>
      </c>
      <c r="F8" s="1">
        <v>44138</v>
      </c>
      <c r="G8" t="s">
        <v>24</v>
      </c>
      <c r="H8">
        <v>19580.872344860902</v>
      </c>
      <c r="I8" t="s">
        <v>25</v>
      </c>
      <c r="J8" s="1">
        <v>44150</v>
      </c>
      <c r="K8" t="s">
        <v>19</v>
      </c>
      <c r="L8" t="s">
        <v>27</v>
      </c>
      <c r="M8">
        <f>YEAR(Table2[[#This Row],[Date of Admission]])</f>
        <v>2020</v>
      </c>
    </row>
    <row r="9" spans="1:13" x14ac:dyDescent="0.2">
      <c r="A9" t="s">
        <v>46</v>
      </c>
      <c r="B9">
        <v>20</v>
      </c>
      <c r="C9" t="s">
        <v>29</v>
      </c>
      <c r="D9" t="s">
        <v>22</v>
      </c>
      <c r="E9" t="s">
        <v>16</v>
      </c>
      <c r="F9" s="1">
        <v>44558</v>
      </c>
      <c r="G9" t="s">
        <v>47</v>
      </c>
      <c r="H9">
        <v>45820.4627215945</v>
      </c>
      <c r="I9" t="s">
        <v>25</v>
      </c>
      <c r="J9" s="1">
        <v>44568</v>
      </c>
      <c r="K9" t="s">
        <v>19</v>
      </c>
      <c r="L9" t="s">
        <v>27</v>
      </c>
      <c r="M9">
        <f>YEAR(Table2[[#This Row],[Date of Admission]])</f>
        <v>2021</v>
      </c>
    </row>
    <row r="10" spans="1:13" x14ac:dyDescent="0.2">
      <c r="A10" t="s">
        <v>48</v>
      </c>
      <c r="B10">
        <v>82</v>
      </c>
      <c r="C10" t="s">
        <v>14</v>
      </c>
      <c r="D10" t="s">
        <v>39</v>
      </c>
      <c r="E10" t="s">
        <v>42</v>
      </c>
      <c r="F10" s="1">
        <v>44013</v>
      </c>
      <c r="G10" t="s">
        <v>47</v>
      </c>
      <c r="H10">
        <v>50119.222791548498</v>
      </c>
      <c r="I10" t="s">
        <v>36</v>
      </c>
      <c r="J10" s="1">
        <v>44026</v>
      </c>
      <c r="K10" t="s">
        <v>32</v>
      </c>
      <c r="L10" t="s">
        <v>37</v>
      </c>
      <c r="M10">
        <f>YEAR(Table2[[#This Row],[Date of Admission]])</f>
        <v>2020</v>
      </c>
    </row>
    <row r="11" spans="1:13" x14ac:dyDescent="0.2">
      <c r="A11" t="s">
        <v>49</v>
      </c>
      <c r="B11">
        <v>58</v>
      </c>
      <c r="C11" t="s">
        <v>29</v>
      </c>
      <c r="D11" t="s">
        <v>45</v>
      </c>
      <c r="E11" t="s">
        <v>16</v>
      </c>
      <c r="F11" s="1">
        <v>44339</v>
      </c>
      <c r="G11" t="s">
        <v>43</v>
      </c>
      <c r="H11">
        <v>19784.631062210701</v>
      </c>
      <c r="I11" t="s">
        <v>36</v>
      </c>
      <c r="J11" s="1">
        <v>44369</v>
      </c>
      <c r="K11" t="s">
        <v>19</v>
      </c>
      <c r="L11" t="s">
        <v>27</v>
      </c>
      <c r="M11">
        <f>YEAR(Table2[[#This Row],[Date of Admission]])</f>
        <v>2021</v>
      </c>
    </row>
    <row r="12" spans="1:13" x14ac:dyDescent="0.2">
      <c r="A12" t="s">
        <v>50</v>
      </c>
      <c r="B12">
        <v>72</v>
      </c>
      <c r="C12" t="s">
        <v>14</v>
      </c>
      <c r="D12" t="s">
        <v>34</v>
      </c>
      <c r="E12" t="s">
        <v>16</v>
      </c>
      <c r="F12" s="1">
        <v>43940</v>
      </c>
      <c r="G12" t="s">
        <v>24</v>
      </c>
      <c r="H12">
        <v>12576.795609050199</v>
      </c>
      <c r="I12" t="s">
        <v>18</v>
      </c>
      <c r="J12" s="1">
        <v>43943</v>
      </c>
      <c r="K12" t="s">
        <v>19</v>
      </c>
      <c r="L12" t="s">
        <v>20</v>
      </c>
      <c r="M12">
        <f>YEAR(Table2[[#This Row],[Date of Admission]])</f>
        <v>2020</v>
      </c>
    </row>
    <row r="13" spans="1:13" x14ac:dyDescent="0.2">
      <c r="A13" t="s">
        <v>51</v>
      </c>
      <c r="B13">
        <v>38</v>
      </c>
      <c r="C13" t="s">
        <v>29</v>
      </c>
      <c r="D13" t="s">
        <v>30</v>
      </c>
      <c r="E13" t="s">
        <v>52</v>
      </c>
      <c r="F13" s="1">
        <v>45151</v>
      </c>
      <c r="G13" t="s">
        <v>24</v>
      </c>
      <c r="H13">
        <v>7999.5868796041796</v>
      </c>
      <c r="I13" t="s">
        <v>18</v>
      </c>
      <c r="J13" s="1">
        <v>45174</v>
      </c>
      <c r="K13" t="s">
        <v>53</v>
      </c>
      <c r="L13" t="s">
        <v>27</v>
      </c>
      <c r="M13">
        <f>YEAR(Table2[[#This Row],[Date of Admission]])</f>
        <v>2023</v>
      </c>
    </row>
    <row r="14" spans="1:13" x14ac:dyDescent="0.2">
      <c r="A14" t="s">
        <v>54</v>
      </c>
      <c r="B14">
        <v>75</v>
      </c>
      <c r="C14" t="s">
        <v>29</v>
      </c>
      <c r="D14" t="s">
        <v>22</v>
      </c>
      <c r="E14" t="s">
        <v>35</v>
      </c>
      <c r="F14" s="1">
        <v>43811</v>
      </c>
      <c r="G14" t="s">
        <v>47</v>
      </c>
      <c r="H14">
        <v>43282.283357704298</v>
      </c>
      <c r="I14" t="s">
        <v>25</v>
      </c>
      <c r="J14" s="1">
        <v>43827</v>
      </c>
      <c r="K14" t="s">
        <v>40</v>
      </c>
      <c r="L14" t="s">
        <v>37</v>
      </c>
      <c r="M14">
        <f>YEAR(Table2[[#This Row],[Date of Admission]])</f>
        <v>2019</v>
      </c>
    </row>
    <row r="15" spans="1:13" x14ac:dyDescent="0.2">
      <c r="A15" t="s">
        <v>55</v>
      </c>
      <c r="B15">
        <v>68</v>
      </c>
      <c r="C15" t="s">
        <v>29</v>
      </c>
      <c r="D15" t="s">
        <v>39</v>
      </c>
      <c r="E15" t="s">
        <v>42</v>
      </c>
      <c r="F15" s="1">
        <v>43973</v>
      </c>
      <c r="G15" t="s">
        <v>43</v>
      </c>
      <c r="H15">
        <v>33207.706633729598</v>
      </c>
      <c r="I15" t="s">
        <v>18</v>
      </c>
      <c r="J15" s="1">
        <v>44001</v>
      </c>
      <c r="K15" t="s">
        <v>53</v>
      </c>
      <c r="L15" t="s">
        <v>20</v>
      </c>
      <c r="M15">
        <f>YEAR(Table2[[#This Row],[Date of Admission]])</f>
        <v>2020</v>
      </c>
    </row>
    <row r="16" spans="1:13" x14ac:dyDescent="0.2">
      <c r="A16" t="s">
        <v>56</v>
      </c>
      <c r="B16">
        <v>44</v>
      </c>
      <c r="C16" t="s">
        <v>29</v>
      </c>
      <c r="D16" t="s">
        <v>39</v>
      </c>
      <c r="E16" t="s">
        <v>16</v>
      </c>
      <c r="F16" s="1">
        <v>44477</v>
      </c>
      <c r="G16" t="s">
        <v>43</v>
      </c>
      <c r="H16">
        <v>40701.599227308703</v>
      </c>
      <c r="I16" t="s">
        <v>18</v>
      </c>
      <c r="J16" s="1">
        <v>44482</v>
      </c>
      <c r="K16" t="s">
        <v>19</v>
      </c>
      <c r="L16" t="s">
        <v>20</v>
      </c>
      <c r="M16">
        <f>YEAR(Table2[[#This Row],[Date of Admission]])</f>
        <v>2021</v>
      </c>
    </row>
    <row r="17" spans="1:13" x14ac:dyDescent="0.2">
      <c r="A17" t="s">
        <v>57</v>
      </c>
      <c r="B17">
        <v>46</v>
      </c>
      <c r="C17" t="s">
        <v>29</v>
      </c>
      <c r="D17" t="s">
        <v>45</v>
      </c>
      <c r="E17" t="s">
        <v>23</v>
      </c>
      <c r="F17" s="1">
        <v>44927</v>
      </c>
      <c r="G17" t="s">
        <v>17</v>
      </c>
      <c r="H17">
        <v>12263.357425021301</v>
      </c>
      <c r="I17" t="s">
        <v>36</v>
      </c>
      <c r="J17" s="1">
        <v>44937</v>
      </c>
      <c r="K17" t="s">
        <v>32</v>
      </c>
      <c r="L17" t="s">
        <v>27</v>
      </c>
      <c r="M17">
        <f>YEAR(Table2[[#This Row],[Date of Admission]])</f>
        <v>2023</v>
      </c>
    </row>
    <row r="18" spans="1:13" x14ac:dyDescent="0.2">
      <c r="A18" t="s">
        <v>58</v>
      </c>
      <c r="B18">
        <v>63</v>
      </c>
      <c r="C18" t="s">
        <v>29</v>
      </c>
      <c r="D18" t="s">
        <v>22</v>
      </c>
      <c r="E18" t="s">
        <v>59</v>
      </c>
      <c r="F18" s="1">
        <v>44005</v>
      </c>
      <c r="G18" t="s">
        <v>43</v>
      </c>
      <c r="H18">
        <v>24499.8479037365</v>
      </c>
      <c r="I18" t="s">
        <v>36</v>
      </c>
      <c r="J18" s="1">
        <v>44026</v>
      </c>
      <c r="K18" t="s">
        <v>19</v>
      </c>
      <c r="L18" t="s">
        <v>20</v>
      </c>
      <c r="M18">
        <f>YEAR(Table2[[#This Row],[Date of Admission]])</f>
        <v>2020</v>
      </c>
    </row>
    <row r="19" spans="1:13" x14ac:dyDescent="0.2">
      <c r="A19" t="s">
        <v>60</v>
      </c>
      <c r="B19">
        <v>38</v>
      </c>
      <c r="C19" t="s">
        <v>14</v>
      </c>
      <c r="D19" t="s">
        <v>45</v>
      </c>
      <c r="E19" t="s">
        <v>23</v>
      </c>
      <c r="F19" s="1">
        <v>43898</v>
      </c>
      <c r="G19" t="s">
        <v>47</v>
      </c>
      <c r="H19">
        <v>17440.465444124598</v>
      </c>
      <c r="I19" t="s">
        <v>18</v>
      </c>
      <c r="J19" s="1">
        <v>43923</v>
      </c>
      <c r="K19" t="s">
        <v>19</v>
      </c>
      <c r="L19" t="s">
        <v>37</v>
      </c>
      <c r="M19">
        <f>YEAR(Table2[[#This Row],[Date of Admission]])</f>
        <v>2020</v>
      </c>
    </row>
    <row r="20" spans="1:13" x14ac:dyDescent="0.2">
      <c r="A20" t="s">
        <v>61</v>
      </c>
      <c r="B20">
        <v>34</v>
      </c>
      <c r="C20" t="s">
        <v>29</v>
      </c>
      <c r="D20" t="s">
        <v>30</v>
      </c>
      <c r="E20" t="s">
        <v>52</v>
      </c>
      <c r="F20" s="1">
        <v>44259</v>
      </c>
      <c r="G20" t="s">
        <v>17</v>
      </c>
      <c r="H20">
        <v>18843.023017834101</v>
      </c>
      <c r="I20" t="s">
        <v>36</v>
      </c>
      <c r="J20" s="1">
        <v>44269</v>
      </c>
      <c r="K20" t="s">
        <v>32</v>
      </c>
      <c r="L20" t="s">
        <v>37</v>
      </c>
      <c r="M20">
        <f>YEAR(Table2[[#This Row],[Date of Admission]])</f>
        <v>2021</v>
      </c>
    </row>
    <row r="21" spans="1:13" x14ac:dyDescent="0.2">
      <c r="A21" t="s">
        <v>62</v>
      </c>
      <c r="B21">
        <v>63</v>
      </c>
      <c r="C21" t="s">
        <v>14</v>
      </c>
      <c r="D21" t="s">
        <v>63</v>
      </c>
      <c r="E21" t="s">
        <v>42</v>
      </c>
      <c r="F21" s="1">
        <v>44880</v>
      </c>
      <c r="G21" t="s">
        <v>47</v>
      </c>
      <c r="H21">
        <v>23762.2035790595</v>
      </c>
      <c r="I21" t="s">
        <v>36</v>
      </c>
      <c r="J21" s="1">
        <v>44887</v>
      </c>
      <c r="K21" t="s">
        <v>40</v>
      </c>
      <c r="L21" t="s">
        <v>20</v>
      </c>
      <c r="M21">
        <f>YEAR(Table2[[#This Row],[Date of Admission]])</f>
        <v>2022</v>
      </c>
    </row>
    <row r="22" spans="1:13" x14ac:dyDescent="0.2">
      <c r="A22" t="s">
        <v>64</v>
      </c>
      <c r="B22">
        <v>67</v>
      </c>
      <c r="C22" t="s">
        <v>29</v>
      </c>
      <c r="D22" t="s">
        <v>30</v>
      </c>
      <c r="E22" t="s">
        <v>42</v>
      </c>
      <c r="F22" s="1">
        <v>45105</v>
      </c>
      <c r="G22" t="s">
        <v>17</v>
      </c>
      <c r="H22">
        <v>42.514588553324302</v>
      </c>
      <c r="I22" t="s">
        <v>36</v>
      </c>
      <c r="J22" s="1">
        <v>45109</v>
      </c>
      <c r="K22" t="s">
        <v>32</v>
      </c>
      <c r="L22" t="s">
        <v>20</v>
      </c>
      <c r="M22">
        <f>YEAR(Table2[[#This Row],[Date of Admission]])</f>
        <v>2023</v>
      </c>
    </row>
    <row r="23" spans="1:13" x14ac:dyDescent="0.2">
      <c r="A23" t="s">
        <v>65</v>
      </c>
      <c r="B23">
        <v>48</v>
      </c>
      <c r="C23" t="s">
        <v>14</v>
      </c>
      <c r="D23" t="s">
        <v>63</v>
      </c>
      <c r="E23" t="s">
        <v>42</v>
      </c>
      <c r="F23" s="1">
        <v>43851</v>
      </c>
      <c r="G23" t="s">
        <v>31</v>
      </c>
      <c r="H23">
        <v>17695.9116223438</v>
      </c>
      <c r="I23" t="s">
        <v>18</v>
      </c>
      <c r="J23" s="1">
        <v>43870</v>
      </c>
      <c r="K23" t="s">
        <v>53</v>
      </c>
      <c r="L23" t="s">
        <v>20</v>
      </c>
      <c r="M23">
        <f>YEAR(Table2[[#This Row],[Date of Admission]])</f>
        <v>2020</v>
      </c>
    </row>
    <row r="24" spans="1:13" x14ac:dyDescent="0.2">
      <c r="A24" t="s">
        <v>66</v>
      </c>
      <c r="B24">
        <v>58</v>
      </c>
      <c r="C24" t="s">
        <v>29</v>
      </c>
      <c r="D24" t="s">
        <v>34</v>
      </c>
      <c r="E24" t="s">
        <v>59</v>
      </c>
      <c r="F24" s="1">
        <v>44693</v>
      </c>
      <c r="G24" t="s">
        <v>31</v>
      </c>
      <c r="H24">
        <v>5998.1029081959095</v>
      </c>
      <c r="I24" t="s">
        <v>18</v>
      </c>
      <c r="J24" s="1">
        <v>44722</v>
      </c>
      <c r="K24" t="s">
        <v>53</v>
      </c>
      <c r="L24" t="s">
        <v>27</v>
      </c>
      <c r="M24">
        <f>YEAR(Table2[[#This Row],[Date of Admission]])</f>
        <v>2022</v>
      </c>
    </row>
    <row r="25" spans="1:13" x14ac:dyDescent="0.2">
      <c r="A25" t="s">
        <v>67</v>
      </c>
      <c r="B25">
        <v>59</v>
      </c>
      <c r="C25" t="s">
        <v>14</v>
      </c>
      <c r="D25" t="s">
        <v>22</v>
      </c>
      <c r="E25" t="s">
        <v>42</v>
      </c>
      <c r="F25" s="1">
        <v>44410</v>
      </c>
      <c r="G25" t="s">
        <v>31</v>
      </c>
      <c r="H25">
        <v>25250.052428216099</v>
      </c>
      <c r="I25" t="s">
        <v>18</v>
      </c>
      <c r="J25" s="1">
        <v>44420</v>
      </c>
      <c r="K25" t="s">
        <v>53</v>
      </c>
      <c r="L25" t="s">
        <v>27</v>
      </c>
      <c r="M25">
        <f>YEAR(Table2[[#This Row],[Date of Admission]])</f>
        <v>2021</v>
      </c>
    </row>
    <row r="26" spans="1:13" x14ac:dyDescent="0.2">
      <c r="A26" t="s">
        <v>68</v>
      </c>
      <c r="B26">
        <v>72</v>
      </c>
      <c r="C26" t="s">
        <v>29</v>
      </c>
      <c r="D26" t="s">
        <v>39</v>
      </c>
      <c r="E26" t="s">
        <v>52</v>
      </c>
      <c r="F26" s="1">
        <v>43966</v>
      </c>
      <c r="G26" t="s">
        <v>24</v>
      </c>
      <c r="H26">
        <v>33211.295419012</v>
      </c>
      <c r="I26" t="s">
        <v>25</v>
      </c>
      <c r="J26" s="1">
        <v>43990</v>
      </c>
      <c r="K26" t="s">
        <v>19</v>
      </c>
      <c r="L26" t="s">
        <v>27</v>
      </c>
      <c r="M26">
        <f>YEAR(Table2[[#This Row],[Date of Admission]])</f>
        <v>2020</v>
      </c>
    </row>
    <row r="27" spans="1:13" x14ac:dyDescent="0.2">
      <c r="A27" t="s">
        <v>69</v>
      </c>
      <c r="B27">
        <v>73</v>
      </c>
      <c r="C27" t="s">
        <v>14</v>
      </c>
      <c r="D27" t="s">
        <v>39</v>
      </c>
      <c r="E27" t="s">
        <v>23</v>
      </c>
      <c r="F27" s="1">
        <v>43966</v>
      </c>
      <c r="G27" t="s">
        <v>24</v>
      </c>
      <c r="H27">
        <v>19746.832007604298</v>
      </c>
      <c r="I27" t="s">
        <v>18</v>
      </c>
      <c r="J27" s="1">
        <v>43971</v>
      </c>
      <c r="K27" t="s">
        <v>32</v>
      </c>
      <c r="L27" t="s">
        <v>37</v>
      </c>
      <c r="M27">
        <f>YEAR(Table2[[#This Row],[Date of Admission]])</f>
        <v>2020</v>
      </c>
    </row>
    <row r="28" spans="1:13" x14ac:dyDescent="0.2">
      <c r="A28" t="s">
        <v>70</v>
      </c>
      <c r="B28">
        <v>51</v>
      </c>
      <c r="C28" t="s">
        <v>29</v>
      </c>
      <c r="D28" t="s">
        <v>71</v>
      </c>
      <c r="E28" t="s">
        <v>42</v>
      </c>
      <c r="F28" s="1">
        <v>45283</v>
      </c>
      <c r="G28" t="s">
        <v>17</v>
      </c>
      <c r="H28">
        <v>26786.529555311201</v>
      </c>
      <c r="I28" t="s">
        <v>36</v>
      </c>
      <c r="J28" s="1">
        <v>45310</v>
      </c>
      <c r="K28" t="s">
        <v>26</v>
      </c>
      <c r="L28" t="s">
        <v>20</v>
      </c>
      <c r="M28">
        <f>YEAR(Table2[[#This Row],[Date of Admission]])</f>
        <v>2023</v>
      </c>
    </row>
    <row r="29" spans="1:13" x14ac:dyDescent="0.2">
      <c r="A29" t="s">
        <v>72</v>
      </c>
      <c r="B29">
        <v>34</v>
      </c>
      <c r="C29" t="s">
        <v>29</v>
      </c>
      <c r="D29" t="s">
        <v>22</v>
      </c>
      <c r="E29" t="s">
        <v>35</v>
      </c>
      <c r="F29" s="1">
        <v>44733</v>
      </c>
      <c r="G29" t="s">
        <v>43</v>
      </c>
      <c r="H29">
        <v>18834.801341178299</v>
      </c>
      <c r="I29" t="s">
        <v>25</v>
      </c>
      <c r="J29" s="1">
        <v>44742</v>
      </c>
      <c r="K29" t="s">
        <v>53</v>
      </c>
      <c r="L29" t="s">
        <v>37</v>
      </c>
      <c r="M29">
        <f>YEAR(Table2[[#This Row],[Date of Admission]])</f>
        <v>2022</v>
      </c>
    </row>
    <row r="30" spans="1:13" x14ac:dyDescent="0.2">
      <c r="A30" t="s">
        <v>73</v>
      </c>
      <c r="B30">
        <v>38</v>
      </c>
      <c r="C30" t="s">
        <v>29</v>
      </c>
      <c r="D30" t="s">
        <v>71</v>
      </c>
      <c r="E30" t="s">
        <v>52</v>
      </c>
      <c r="F30" s="1">
        <v>44199</v>
      </c>
      <c r="G30" t="s">
        <v>47</v>
      </c>
      <c r="H30">
        <v>32643.2993532771</v>
      </c>
      <c r="I30" t="s">
        <v>25</v>
      </c>
      <c r="J30" s="1">
        <v>44212</v>
      </c>
      <c r="K30" t="s">
        <v>40</v>
      </c>
      <c r="L30" t="s">
        <v>20</v>
      </c>
      <c r="M30">
        <f>YEAR(Table2[[#This Row],[Date of Admission]])</f>
        <v>2021</v>
      </c>
    </row>
    <row r="31" spans="1:13" x14ac:dyDescent="0.2">
      <c r="A31" t="s">
        <v>74</v>
      </c>
      <c r="B31">
        <v>63</v>
      </c>
      <c r="C31" t="s">
        <v>29</v>
      </c>
      <c r="D31" t="s">
        <v>63</v>
      </c>
      <c r="E31" t="s">
        <v>52</v>
      </c>
      <c r="F31" s="1">
        <v>45202</v>
      </c>
      <c r="G31" t="s">
        <v>31</v>
      </c>
      <c r="H31">
        <v>5767.0110538160097</v>
      </c>
      <c r="I31" t="s">
        <v>36</v>
      </c>
      <c r="J31" s="1">
        <v>45211</v>
      </c>
      <c r="K31" t="s">
        <v>19</v>
      </c>
      <c r="L31" t="s">
        <v>37</v>
      </c>
      <c r="M31">
        <f>YEAR(Table2[[#This Row],[Date of Admission]])</f>
        <v>2023</v>
      </c>
    </row>
    <row r="32" spans="1:13" x14ac:dyDescent="0.2">
      <c r="A32" t="s">
        <v>75</v>
      </c>
      <c r="B32">
        <v>34</v>
      </c>
      <c r="C32" t="s">
        <v>14</v>
      </c>
      <c r="D32" t="s">
        <v>15</v>
      </c>
      <c r="E32" t="s">
        <v>42</v>
      </c>
      <c r="F32" s="1">
        <v>43695</v>
      </c>
      <c r="G32" t="s">
        <v>47</v>
      </c>
      <c r="H32">
        <v>47909.128809874899</v>
      </c>
      <c r="I32" t="s">
        <v>18</v>
      </c>
      <c r="J32" s="1">
        <v>43709</v>
      </c>
      <c r="K32" t="s">
        <v>26</v>
      </c>
      <c r="L32" t="s">
        <v>27</v>
      </c>
      <c r="M32">
        <f>YEAR(Table2[[#This Row],[Date of Admission]])</f>
        <v>2019</v>
      </c>
    </row>
    <row r="33" spans="1:13" x14ac:dyDescent="0.2">
      <c r="A33" t="s">
        <v>76</v>
      </c>
      <c r="B33">
        <v>23</v>
      </c>
      <c r="C33" t="s">
        <v>29</v>
      </c>
      <c r="D33" t="s">
        <v>22</v>
      </c>
      <c r="E33" t="s">
        <v>59</v>
      </c>
      <c r="F33" s="1">
        <v>43772</v>
      </c>
      <c r="G33" t="s">
        <v>43</v>
      </c>
      <c r="H33">
        <v>25835.323594688201</v>
      </c>
      <c r="I33" t="s">
        <v>18</v>
      </c>
      <c r="J33" s="1">
        <v>43798</v>
      </c>
      <c r="K33" t="s">
        <v>40</v>
      </c>
      <c r="L33" t="s">
        <v>37</v>
      </c>
      <c r="M33">
        <f>YEAR(Table2[[#This Row],[Date of Admission]])</f>
        <v>2019</v>
      </c>
    </row>
    <row r="34" spans="1:13" x14ac:dyDescent="0.2">
      <c r="A34" t="s">
        <v>77</v>
      </c>
      <c r="B34">
        <v>78</v>
      </c>
      <c r="C34" t="s">
        <v>14</v>
      </c>
      <c r="D34" t="s">
        <v>45</v>
      </c>
      <c r="E34" t="s">
        <v>59</v>
      </c>
      <c r="F34" s="1">
        <v>45064</v>
      </c>
      <c r="G34" t="s">
        <v>24</v>
      </c>
      <c r="H34">
        <v>17993.226200015499</v>
      </c>
      <c r="I34" t="s">
        <v>36</v>
      </c>
      <c r="J34" s="1">
        <v>45092</v>
      </c>
      <c r="K34" t="s">
        <v>40</v>
      </c>
      <c r="L34" t="s">
        <v>20</v>
      </c>
      <c r="M34">
        <f>YEAR(Table2[[#This Row],[Date of Admission]])</f>
        <v>2023</v>
      </c>
    </row>
    <row r="35" spans="1:13" x14ac:dyDescent="0.2">
      <c r="A35" t="s">
        <v>79</v>
      </c>
      <c r="B35">
        <v>43</v>
      </c>
      <c r="C35" t="s">
        <v>14</v>
      </c>
      <c r="D35" t="s">
        <v>45</v>
      </c>
      <c r="E35" t="s">
        <v>16</v>
      </c>
      <c r="F35" s="1">
        <v>45070</v>
      </c>
      <c r="G35" t="s">
        <v>24</v>
      </c>
      <c r="H35">
        <v>21185.953530394199</v>
      </c>
      <c r="I35" t="s">
        <v>36</v>
      </c>
      <c r="J35" s="1">
        <v>45080</v>
      </c>
      <c r="K35" t="s">
        <v>26</v>
      </c>
      <c r="L35" t="s">
        <v>20</v>
      </c>
      <c r="M35">
        <f>YEAR(Table2[[#This Row],[Date of Admission]])</f>
        <v>2023</v>
      </c>
    </row>
    <row r="36" spans="1:13" x14ac:dyDescent="0.2">
      <c r="A36" t="s">
        <v>80</v>
      </c>
      <c r="B36">
        <v>30</v>
      </c>
      <c r="C36" t="s">
        <v>29</v>
      </c>
      <c r="D36" t="s">
        <v>39</v>
      </c>
      <c r="E36" t="s">
        <v>35</v>
      </c>
      <c r="F36" s="1">
        <v>43847</v>
      </c>
      <c r="G36" t="s">
        <v>17</v>
      </c>
      <c r="H36">
        <v>8408.9493542919499</v>
      </c>
      <c r="I36" t="s">
        <v>25</v>
      </c>
      <c r="J36" s="1">
        <v>43871</v>
      </c>
      <c r="K36" t="s">
        <v>53</v>
      </c>
      <c r="L36" t="s">
        <v>20</v>
      </c>
      <c r="M36">
        <f>YEAR(Table2[[#This Row],[Date of Admission]])</f>
        <v>2020</v>
      </c>
    </row>
    <row r="37" spans="1:13" x14ac:dyDescent="0.2">
      <c r="A37" t="s">
        <v>81</v>
      </c>
      <c r="B37">
        <v>25</v>
      </c>
      <c r="C37" t="s">
        <v>29</v>
      </c>
      <c r="D37" t="s">
        <v>39</v>
      </c>
      <c r="E37" t="s">
        <v>42</v>
      </c>
      <c r="F37" s="1">
        <v>44203</v>
      </c>
      <c r="G37" t="s">
        <v>24</v>
      </c>
      <c r="H37">
        <v>45453.418545665103</v>
      </c>
      <c r="I37" t="s">
        <v>36</v>
      </c>
      <c r="J37" s="1">
        <v>44222</v>
      </c>
      <c r="K37" t="s">
        <v>53</v>
      </c>
      <c r="L37" t="s">
        <v>37</v>
      </c>
      <c r="M37">
        <f>YEAR(Table2[[#This Row],[Date of Admission]])</f>
        <v>2021</v>
      </c>
    </row>
    <row r="38" spans="1:13" x14ac:dyDescent="0.2">
      <c r="A38" t="s">
        <v>82</v>
      </c>
      <c r="B38">
        <v>33</v>
      </c>
      <c r="C38" t="s">
        <v>14</v>
      </c>
      <c r="D38" t="s">
        <v>39</v>
      </c>
      <c r="E38" t="s">
        <v>35</v>
      </c>
      <c r="F38" s="1">
        <v>43752</v>
      </c>
      <c r="G38" t="s">
        <v>31</v>
      </c>
      <c r="H38">
        <v>4397.77699541333</v>
      </c>
      <c r="I38" t="s">
        <v>18</v>
      </c>
      <c r="J38" s="1">
        <v>43757</v>
      </c>
      <c r="K38" t="s">
        <v>19</v>
      </c>
      <c r="L38" t="s">
        <v>27</v>
      </c>
      <c r="M38">
        <f>YEAR(Table2[[#This Row],[Date of Admission]])</f>
        <v>2019</v>
      </c>
    </row>
    <row r="39" spans="1:13" x14ac:dyDescent="0.2">
      <c r="A39" t="s">
        <v>83</v>
      </c>
      <c r="B39">
        <v>26</v>
      </c>
      <c r="C39" t="s">
        <v>29</v>
      </c>
      <c r="D39" t="s">
        <v>15</v>
      </c>
      <c r="E39" t="s">
        <v>52</v>
      </c>
      <c r="F39" s="1">
        <v>44549</v>
      </c>
      <c r="G39" t="s">
        <v>31</v>
      </c>
      <c r="H39">
        <v>9380.3259675284298</v>
      </c>
      <c r="I39" t="s">
        <v>18</v>
      </c>
      <c r="J39" s="1">
        <v>44577</v>
      </c>
      <c r="K39" t="s">
        <v>26</v>
      </c>
      <c r="L39" t="s">
        <v>20</v>
      </c>
      <c r="M39">
        <f>YEAR(Table2[[#This Row],[Date of Admission]])</f>
        <v>2021</v>
      </c>
    </row>
    <row r="40" spans="1:13" x14ac:dyDescent="0.2">
      <c r="A40" t="s">
        <v>84</v>
      </c>
      <c r="B40">
        <v>70</v>
      </c>
      <c r="C40" t="s">
        <v>29</v>
      </c>
      <c r="D40" t="s">
        <v>71</v>
      </c>
      <c r="E40" t="s">
        <v>35</v>
      </c>
      <c r="F40" s="1">
        <v>44632</v>
      </c>
      <c r="G40" t="s">
        <v>47</v>
      </c>
      <c r="H40">
        <v>48290.693407364102</v>
      </c>
      <c r="I40" t="s">
        <v>25</v>
      </c>
      <c r="J40" s="1">
        <v>44649</v>
      </c>
      <c r="K40" t="s">
        <v>53</v>
      </c>
      <c r="L40" t="s">
        <v>37</v>
      </c>
      <c r="M40">
        <f>YEAR(Table2[[#This Row],[Date of Admission]])</f>
        <v>2022</v>
      </c>
    </row>
    <row r="41" spans="1:13" x14ac:dyDescent="0.2">
      <c r="A41" t="s">
        <v>85</v>
      </c>
      <c r="B41">
        <v>57</v>
      </c>
      <c r="C41" t="s">
        <v>29</v>
      </c>
      <c r="D41" t="s">
        <v>15</v>
      </c>
      <c r="E41" t="s">
        <v>23</v>
      </c>
      <c r="F41" s="1">
        <v>44213</v>
      </c>
      <c r="G41" t="s">
        <v>24</v>
      </c>
      <c r="H41">
        <v>32973.940832966196</v>
      </c>
      <c r="I41" t="s">
        <v>18</v>
      </c>
      <c r="J41" s="1">
        <v>44225</v>
      </c>
      <c r="K41" t="s">
        <v>40</v>
      </c>
      <c r="L41" t="s">
        <v>37</v>
      </c>
      <c r="M41">
        <f>YEAR(Table2[[#This Row],[Date of Admission]])</f>
        <v>2021</v>
      </c>
    </row>
    <row r="42" spans="1:13" x14ac:dyDescent="0.2">
      <c r="A42" t="s">
        <v>86</v>
      </c>
      <c r="B42">
        <v>74</v>
      </c>
      <c r="C42" t="s">
        <v>29</v>
      </c>
      <c r="D42" t="s">
        <v>15</v>
      </c>
      <c r="E42" t="s">
        <v>52</v>
      </c>
      <c r="F42" s="1">
        <v>44454</v>
      </c>
      <c r="G42" t="s">
        <v>47</v>
      </c>
      <c r="H42">
        <v>49943.2784987872</v>
      </c>
      <c r="I42" t="s">
        <v>25</v>
      </c>
      <c r="J42" s="1">
        <v>44474</v>
      </c>
      <c r="K42" t="s">
        <v>53</v>
      </c>
      <c r="L42" t="s">
        <v>20</v>
      </c>
      <c r="M42">
        <f>YEAR(Table2[[#This Row],[Date of Admission]])</f>
        <v>2021</v>
      </c>
    </row>
    <row r="43" spans="1:13" x14ac:dyDescent="0.2">
      <c r="A43" t="s">
        <v>87</v>
      </c>
      <c r="B43">
        <v>81</v>
      </c>
      <c r="C43" t="s">
        <v>14</v>
      </c>
      <c r="D43" t="s">
        <v>22</v>
      </c>
      <c r="E43" t="s">
        <v>52</v>
      </c>
      <c r="F43" s="1">
        <v>43857</v>
      </c>
      <c r="G43" t="s">
        <v>47</v>
      </c>
      <c r="H43">
        <v>35633.955454387797</v>
      </c>
      <c r="I43" t="s">
        <v>18</v>
      </c>
      <c r="J43" s="1">
        <v>43870</v>
      </c>
      <c r="K43" t="s">
        <v>32</v>
      </c>
      <c r="L43" t="s">
        <v>20</v>
      </c>
      <c r="M43">
        <f>YEAR(Table2[[#This Row],[Date of Admission]])</f>
        <v>2020</v>
      </c>
    </row>
    <row r="44" spans="1:13" x14ac:dyDescent="0.2">
      <c r="A44" t="s">
        <v>88</v>
      </c>
      <c r="B44">
        <v>49</v>
      </c>
      <c r="C44" t="s">
        <v>29</v>
      </c>
      <c r="D44" t="s">
        <v>30</v>
      </c>
      <c r="E44" t="s">
        <v>42</v>
      </c>
      <c r="F44" s="1">
        <v>44736</v>
      </c>
      <c r="G44" t="s">
        <v>47</v>
      </c>
      <c r="H44">
        <v>25966.328610220899</v>
      </c>
      <c r="I44" t="s">
        <v>36</v>
      </c>
      <c r="J44" s="1">
        <v>44760</v>
      </c>
      <c r="K44" t="s">
        <v>19</v>
      </c>
      <c r="L44" t="s">
        <v>20</v>
      </c>
      <c r="M44">
        <f>YEAR(Table2[[#This Row],[Date of Admission]])</f>
        <v>2022</v>
      </c>
    </row>
    <row r="45" spans="1:13" x14ac:dyDescent="0.2">
      <c r="A45" t="s">
        <v>89</v>
      </c>
      <c r="B45">
        <v>26</v>
      </c>
      <c r="C45" t="s">
        <v>29</v>
      </c>
      <c r="D45" t="s">
        <v>39</v>
      </c>
      <c r="E45" t="s">
        <v>23</v>
      </c>
      <c r="F45" s="1">
        <v>44356</v>
      </c>
      <c r="G45" t="s">
        <v>43</v>
      </c>
      <c r="H45">
        <v>21784.445070723599</v>
      </c>
      <c r="I45" t="s">
        <v>18</v>
      </c>
      <c r="J45" s="1">
        <v>44378</v>
      </c>
      <c r="K45" t="s">
        <v>19</v>
      </c>
      <c r="L45" t="s">
        <v>20</v>
      </c>
      <c r="M45">
        <f>YEAR(Table2[[#This Row],[Date of Admission]])</f>
        <v>2021</v>
      </c>
    </row>
    <row r="46" spans="1:13" x14ac:dyDescent="0.2">
      <c r="A46" t="s">
        <v>90</v>
      </c>
      <c r="B46">
        <v>81</v>
      </c>
      <c r="C46" t="s">
        <v>29</v>
      </c>
      <c r="D46" t="s">
        <v>45</v>
      </c>
      <c r="E46" t="s">
        <v>16</v>
      </c>
      <c r="F46" s="1">
        <v>44066</v>
      </c>
      <c r="G46" t="s">
        <v>24</v>
      </c>
      <c r="H46">
        <v>42684.558884550199</v>
      </c>
      <c r="I46" t="s">
        <v>18</v>
      </c>
      <c r="J46" s="1">
        <v>44082</v>
      </c>
      <c r="K46" t="s">
        <v>40</v>
      </c>
      <c r="L46" t="s">
        <v>37</v>
      </c>
      <c r="M46">
        <f>YEAR(Table2[[#This Row],[Date of Admission]])</f>
        <v>2020</v>
      </c>
    </row>
    <row r="47" spans="1:13" x14ac:dyDescent="0.2">
      <c r="A47" t="s">
        <v>91</v>
      </c>
      <c r="B47">
        <v>65</v>
      </c>
      <c r="C47" t="s">
        <v>14</v>
      </c>
      <c r="D47" t="s">
        <v>34</v>
      </c>
      <c r="E47" t="s">
        <v>16</v>
      </c>
      <c r="F47" s="1">
        <v>44846</v>
      </c>
      <c r="G47" t="s">
        <v>24</v>
      </c>
      <c r="H47">
        <v>45585.886559939398</v>
      </c>
      <c r="I47" t="s">
        <v>25</v>
      </c>
      <c r="J47" s="1">
        <v>44867</v>
      </c>
      <c r="K47" t="s">
        <v>40</v>
      </c>
      <c r="L47" t="s">
        <v>20</v>
      </c>
      <c r="M47">
        <f>YEAR(Table2[[#This Row],[Date of Admission]])</f>
        <v>2022</v>
      </c>
    </row>
    <row r="48" spans="1:13" x14ac:dyDescent="0.2">
      <c r="A48" t="s">
        <v>92</v>
      </c>
      <c r="B48">
        <v>31</v>
      </c>
      <c r="C48" t="s">
        <v>29</v>
      </c>
      <c r="D48" t="s">
        <v>34</v>
      </c>
      <c r="E48" t="s">
        <v>52</v>
      </c>
      <c r="F48" s="1">
        <v>44531</v>
      </c>
      <c r="G48" t="s">
        <v>47</v>
      </c>
      <c r="H48">
        <v>29615.441863646101</v>
      </c>
      <c r="I48" t="s">
        <v>36</v>
      </c>
      <c r="J48" s="1">
        <v>44539</v>
      </c>
      <c r="K48" t="s">
        <v>19</v>
      </c>
      <c r="L48" t="s">
        <v>20</v>
      </c>
      <c r="M48">
        <f>YEAR(Table2[[#This Row],[Date of Admission]])</f>
        <v>2021</v>
      </c>
    </row>
    <row r="49" spans="1:13" x14ac:dyDescent="0.2">
      <c r="A49" t="s">
        <v>93</v>
      </c>
      <c r="B49">
        <v>58</v>
      </c>
      <c r="C49" t="s">
        <v>14</v>
      </c>
      <c r="D49" t="s">
        <v>30</v>
      </c>
      <c r="E49" t="s">
        <v>35</v>
      </c>
      <c r="F49" s="1">
        <v>43955</v>
      </c>
      <c r="G49" t="s">
        <v>47</v>
      </c>
      <c r="H49">
        <v>36992.2736882838</v>
      </c>
      <c r="I49" t="s">
        <v>18</v>
      </c>
      <c r="J49" s="1">
        <v>43964</v>
      </c>
      <c r="K49" t="s">
        <v>32</v>
      </c>
      <c r="L49" t="s">
        <v>20</v>
      </c>
      <c r="M49">
        <f>YEAR(Table2[[#This Row],[Date of Admission]])</f>
        <v>2020</v>
      </c>
    </row>
    <row r="50" spans="1:13" x14ac:dyDescent="0.2">
      <c r="A50" t="s">
        <v>94</v>
      </c>
      <c r="B50">
        <v>22</v>
      </c>
      <c r="C50" t="s">
        <v>14</v>
      </c>
      <c r="D50" t="s">
        <v>34</v>
      </c>
      <c r="E50" t="s">
        <v>52</v>
      </c>
      <c r="F50" s="1">
        <v>45178</v>
      </c>
      <c r="G50" t="s">
        <v>43</v>
      </c>
      <c r="H50">
        <v>28051.4994839463</v>
      </c>
      <c r="I50" t="s">
        <v>18</v>
      </c>
      <c r="J50" s="1">
        <v>45192</v>
      </c>
      <c r="K50" t="s">
        <v>26</v>
      </c>
      <c r="L50" t="s">
        <v>37</v>
      </c>
      <c r="M50">
        <f>YEAR(Table2[[#This Row],[Date of Admission]])</f>
        <v>2023</v>
      </c>
    </row>
    <row r="51" spans="1:13" x14ac:dyDescent="0.2">
      <c r="A51" t="s">
        <v>95</v>
      </c>
      <c r="B51">
        <v>77</v>
      </c>
      <c r="C51" t="s">
        <v>29</v>
      </c>
      <c r="D51" t="s">
        <v>34</v>
      </c>
      <c r="E51" t="s">
        <v>42</v>
      </c>
      <c r="F51" s="1">
        <v>43665</v>
      </c>
      <c r="G51" t="s">
        <v>47</v>
      </c>
      <c r="H51">
        <v>16320.232447271799</v>
      </c>
      <c r="I51" t="s">
        <v>18</v>
      </c>
      <c r="J51" s="1">
        <v>43675</v>
      </c>
      <c r="K51" t="s">
        <v>26</v>
      </c>
      <c r="L51" t="s">
        <v>37</v>
      </c>
      <c r="M51">
        <f>YEAR(Table2[[#This Row],[Date of Admission]])</f>
        <v>2019</v>
      </c>
    </row>
    <row r="52" spans="1:13" x14ac:dyDescent="0.2">
      <c r="A52" t="s">
        <v>96</v>
      </c>
      <c r="B52">
        <v>30</v>
      </c>
      <c r="C52" t="s">
        <v>14</v>
      </c>
      <c r="D52" t="s">
        <v>45</v>
      </c>
      <c r="E52" t="s">
        <v>52</v>
      </c>
      <c r="F52" s="1">
        <v>45387</v>
      </c>
      <c r="G52" t="s">
        <v>24</v>
      </c>
      <c r="H52">
        <v>30590.5418063406</v>
      </c>
      <c r="I52" t="s">
        <v>25</v>
      </c>
      <c r="J52" s="1">
        <v>45404</v>
      </c>
      <c r="K52" t="s">
        <v>19</v>
      </c>
      <c r="L52" t="s">
        <v>27</v>
      </c>
      <c r="M52">
        <f>YEAR(Table2[[#This Row],[Date of Admission]])</f>
        <v>2024</v>
      </c>
    </row>
    <row r="53" spans="1:13" x14ac:dyDescent="0.2">
      <c r="A53" t="s">
        <v>97</v>
      </c>
      <c r="B53">
        <v>42</v>
      </c>
      <c r="C53" t="s">
        <v>29</v>
      </c>
      <c r="D53" t="s">
        <v>30</v>
      </c>
      <c r="E53" t="s">
        <v>16</v>
      </c>
      <c r="F53" s="1">
        <v>43631</v>
      </c>
      <c r="G53" t="s">
        <v>31</v>
      </c>
      <c r="H53">
        <v>14681.016360125899</v>
      </c>
      <c r="I53" t="s">
        <v>25</v>
      </c>
      <c r="J53" s="1">
        <v>43651</v>
      </c>
      <c r="K53" t="s">
        <v>26</v>
      </c>
      <c r="L53" t="s">
        <v>37</v>
      </c>
      <c r="M53">
        <f>YEAR(Table2[[#This Row],[Date of Admission]])</f>
        <v>2019</v>
      </c>
    </row>
    <row r="54" spans="1:13" x14ac:dyDescent="0.2">
      <c r="A54" t="s">
        <v>98</v>
      </c>
      <c r="B54">
        <v>67</v>
      </c>
      <c r="C54" t="s">
        <v>29</v>
      </c>
      <c r="D54" t="s">
        <v>39</v>
      </c>
      <c r="E54" t="s">
        <v>16</v>
      </c>
      <c r="F54" s="1">
        <v>44863</v>
      </c>
      <c r="G54" t="s">
        <v>31</v>
      </c>
      <c r="H54">
        <v>21879.531911063499</v>
      </c>
      <c r="I54" t="s">
        <v>18</v>
      </c>
      <c r="J54" s="1">
        <v>44885</v>
      </c>
      <c r="K54" t="s">
        <v>40</v>
      </c>
      <c r="L54" t="s">
        <v>27</v>
      </c>
      <c r="M54">
        <f>YEAR(Table2[[#This Row],[Date of Admission]])</f>
        <v>2022</v>
      </c>
    </row>
    <row r="55" spans="1:13" x14ac:dyDescent="0.2">
      <c r="A55" t="s">
        <v>100</v>
      </c>
      <c r="B55">
        <v>24</v>
      </c>
      <c r="C55" t="s">
        <v>29</v>
      </c>
      <c r="D55" t="s">
        <v>30</v>
      </c>
      <c r="E55" t="s">
        <v>23</v>
      </c>
      <c r="F55" s="1">
        <v>44659</v>
      </c>
      <c r="G55" t="s">
        <v>43</v>
      </c>
      <c r="H55">
        <v>6767.6343965449396</v>
      </c>
      <c r="I55" t="s">
        <v>36</v>
      </c>
      <c r="J55" s="1">
        <v>44664</v>
      </c>
      <c r="K55" t="s">
        <v>53</v>
      </c>
      <c r="L55" t="s">
        <v>37</v>
      </c>
      <c r="M55">
        <f>YEAR(Table2[[#This Row],[Date of Admission]])</f>
        <v>2022</v>
      </c>
    </row>
    <row r="56" spans="1:13" x14ac:dyDescent="0.2">
      <c r="A56" t="s">
        <v>101</v>
      </c>
      <c r="B56">
        <v>84</v>
      </c>
      <c r="C56" t="s">
        <v>29</v>
      </c>
      <c r="D56" t="s">
        <v>15</v>
      </c>
      <c r="E56" t="s">
        <v>42</v>
      </c>
      <c r="F56" s="1">
        <v>45155</v>
      </c>
      <c r="G56" t="s">
        <v>47</v>
      </c>
      <c r="H56">
        <v>19973.4629261595</v>
      </c>
      <c r="I56" t="s">
        <v>36</v>
      </c>
      <c r="J56" s="1">
        <v>45180</v>
      </c>
      <c r="K56" t="s">
        <v>26</v>
      </c>
      <c r="L56" t="s">
        <v>27</v>
      </c>
      <c r="M56">
        <f>YEAR(Table2[[#This Row],[Date of Admission]])</f>
        <v>2023</v>
      </c>
    </row>
    <row r="57" spans="1:13" x14ac:dyDescent="0.2">
      <c r="A57" t="s">
        <v>102</v>
      </c>
      <c r="B57">
        <v>73</v>
      </c>
      <c r="C57" t="s">
        <v>29</v>
      </c>
      <c r="D57" t="s">
        <v>30</v>
      </c>
      <c r="E57" t="s">
        <v>52</v>
      </c>
      <c r="F57" s="1">
        <v>45235</v>
      </c>
      <c r="G57" t="s">
        <v>43</v>
      </c>
      <c r="H57">
        <v>14362.314487502301</v>
      </c>
      <c r="I57" t="s">
        <v>25</v>
      </c>
      <c r="J57" s="1">
        <v>45237</v>
      </c>
      <c r="K57" t="s">
        <v>19</v>
      </c>
      <c r="L57" t="s">
        <v>27</v>
      </c>
      <c r="M57">
        <f>YEAR(Table2[[#This Row],[Date of Admission]])</f>
        <v>2023</v>
      </c>
    </row>
    <row r="58" spans="1:13" x14ac:dyDescent="0.2">
      <c r="A58" t="s">
        <v>103</v>
      </c>
      <c r="B58">
        <v>55</v>
      </c>
      <c r="C58" t="s">
        <v>29</v>
      </c>
      <c r="D58" t="s">
        <v>22</v>
      </c>
      <c r="E58" t="s">
        <v>16</v>
      </c>
      <c r="F58" s="1">
        <v>45025</v>
      </c>
      <c r="G58" t="s">
        <v>47</v>
      </c>
      <c r="H58">
        <v>10300.6573113759</v>
      </c>
      <c r="I58" t="s">
        <v>25</v>
      </c>
      <c r="J58" s="1">
        <v>45037</v>
      </c>
      <c r="K58" t="s">
        <v>19</v>
      </c>
      <c r="L58" t="s">
        <v>20</v>
      </c>
      <c r="M58">
        <f>YEAR(Table2[[#This Row],[Date of Admission]])</f>
        <v>2023</v>
      </c>
    </row>
    <row r="59" spans="1:13" x14ac:dyDescent="0.2">
      <c r="A59" t="s">
        <v>104</v>
      </c>
      <c r="B59">
        <v>23</v>
      </c>
      <c r="C59" t="s">
        <v>14</v>
      </c>
      <c r="D59" t="s">
        <v>71</v>
      </c>
      <c r="E59" t="s">
        <v>52</v>
      </c>
      <c r="F59" s="1">
        <v>44825</v>
      </c>
      <c r="G59" t="s">
        <v>31</v>
      </c>
      <c r="H59">
        <v>37951.6649098497</v>
      </c>
      <c r="I59" t="s">
        <v>25</v>
      </c>
      <c r="J59" s="1">
        <v>44829</v>
      </c>
      <c r="K59" t="s">
        <v>26</v>
      </c>
      <c r="L59" t="s">
        <v>27</v>
      </c>
      <c r="M59">
        <f>YEAR(Table2[[#This Row],[Date of Admission]])</f>
        <v>2022</v>
      </c>
    </row>
    <row r="60" spans="1:13" x14ac:dyDescent="0.2">
      <c r="A60" t="s">
        <v>105</v>
      </c>
      <c r="B60">
        <v>40</v>
      </c>
      <c r="C60" t="s">
        <v>29</v>
      </c>
      <c r="D60" t="s">
        <v>45</v>
      </c>
      <c r="E60" t="s">
        <v>16</v>
      </c>
      <c r="F60" s="1">
        <v>44217</v>
      </c>
      <c r="G60" t="s">
        <v>31</v>
      </c>
      <c r="H60">
        <v>6733.9909470688299</v>
      </c>
      <c r="I60" t="s">
        <v>18</v>
      </c>
      <c r="J60" s="1">
        <v>44233</v>
      </c>
      <c r="K60" t="s">
        <v>26</v>
      </c>
      <c r="L60" t="s">
        <v>20</v>
      </c>
      <c r="M60">
        <f>YEAR(Table2[[#This Row],[Date of Admission]])</f>
        <v>2021</v>
      </c>
    </row>
    <row r="61" spans="1:13" x14ac:dyDescent="0.2">
      <c r="A61" t="s">
        <v>106</v>
      </c>
      <c r="B61">
        <v>51</v>
      </c>
      <c r="C61" t="s">
        <v>14</v>
      </c>
      <c r="D61" t="s">
        <v>34</v>
      </c>
      <c r="E61" t="s">
        <v>52</v>
      </c>
      <c r="F61" s="1">
        <v>44022</v>
      </c>
      <c r="G61" t="s">
        <v>31</v>
      </c>
      <c r="H61">
        <v>17839.745651647099</v>
      </c>
      <c r="I61" t="s">
        <v>36</v>
      </c>
      <c r="J61" s="1">
        <v>44032</v>
      </c>
      <c r="K61" t="s">
        <v>19</v>
      </c>
      <c r="L61" t="s">
        <v>37</v>
      </c>
      <c r="M61">
        <f>YEAR(Table2[[#This Row],[Date of Admission]])</f>
        <v>2020</v>
      </c>
    </row>
    <row r="62" spans="1:13" x14ac:dyDescent="0.2">
      <c r="A62" t="s">
        <v>107</v>
      </c>
      <c r="B62">
        <v>83</v>
      </c>
      <c r="C62" t="s">
        <v>14</v>
      </c>
      <c r="D62" t="s">
        <v>39</v>
      </c>
      <c r="E62" t="s">
        <v>23</v>
      </c>
      <c r="F62" s="1">
        <v>43775</v>
      </c>
      <c r="G62" t="s">
        <v>31</v>
      </c>
      <c r="H62">
        <v>24637.0900640332</v>
      </c>
      <c r="I62" t="s">
        <v>36</v>
      </c>
      <c r="J62" s="1">
        <v>43791</v>
      </c>
      <c r="K62" t="s">
        <v>19</v>
      </c>
      <c r="L62" t="s">
        <v>27</v>
      </c>
      <c r="M62">
        <f>YEAR(Table2[[#This Row],[Date of Admission]])</f>
        <v>2019</v>
      </c>
    </row>
    <row r="63" spans="1:13" x14ac:dyDescent="0.2">
      <c r="A63" t="s">
        <v>108</v>
      </c>
      <c r="B63">
        <v>63</v>
      </c>
      <c r="C63" t="s">
        <v>14</v>
      </c>
      <c r="D63" t="s">
        <v>30</v>
      </c>
      <c r="E63" t="s">
        <v>42</v>
      </c>
      <c r="F63" s="1">
        <v>45389</v>
      </c>
      <c r="G63" t="s">
        <v>43</v>
      </c>
      <c r="H63">
        <v>39723.166051427797</v>
      </c>
      <c r="I63" t="s">
        <v>25</v>
      </c>
      <c r="J63" s="1">
        <v>45416</v>
      </c>
      <c r="K63" t="s">
        <v>26</v>
      </c>
      <c r="L63" t="s">
        <v>27</v>
      </c>
      <c r="M63">
        <f>YEAR(Table2[[#This Row],[Date of Admission]])</f>
        <v>2024</v>
      </c>
    </row>
    <row r="64" spans="1:13" x14ac:dyDescent="0.2">
      <c r="A64" t="s">
        <v>109</v>
      </c>
      <c r="B64">
        <v>18</v>
      </c>
      <c r="C64" t="s">
        <v>14</v>
      </c>
      <c r="D64" t="s">
        <v>22</v>
      </c>
      <c r="E64" t="s">
        <v>16</v>
      </c>
      <c r="F64" s="1">
        <v>44748</v>
      </c>
      <c r="G64" t="s">
        <v>43</v>
      </c>
      <c r="H64">
        <v>48407.386291100498</v>
      </c>
      <c r="I64" t="s">
        <v>25</v>
      </c>
      <c r="J64" s="1">
        <v>44760</v>
      </c>
      <c r="K64" t="s">
        <v>32</v>
      </c>
      <c r="L64" t="s">
        <v>20</v>
      </c>
      <c r="M64">
        <f>YEAR(Table2[[#This Row],[Date of Admission]])</f>
        <v>2022</v>
      </c>
    </row>
    <row r="65" spans="1:13" x14ac:dyDescent="0.2">
      <c r="A65" t="s">
        <v>110</v>
      </c>
      <c r="B65">
        <v>23</v>
      </c>
      <c r="C65" t="s">
        <v>29</v>
      </c>
      <c r="D65" t="s">
        <v>15</v>
      </c>
      <c r="E65" t="s">
        <v>52</v>
      </c>
      <c r="F65" s="1">
        <v>44776</v>
      </c>
      <c r="G65" t="s">
        <v>47</v>
      </c>
      <c r="H65">
        <v>5517.3936422239904</v>
      </c>
      <c r="I65" t="s">
        <v>36</v>
      </c>
      <c r="J65" s="1">
        <v>44783</v>
      </c>
      <c r="K65" t="s">
        <v>32</v>
      </c>
      <c r="L65" t="s">
        <v>27</v>
      </c>
      <c r="M65">
        <f>YEAR(Table2[[#This Row],[Date of Admission]])</f>
        <v>2022</v>
      </c>
    </row>
    <row r="66" spans="1:13" x14ac:dyDescent="0.2">
      <c r="A66" t="s">
        <v>111</v>
      </c>
      <c r="B66">
        <v>58</v>
      </c>
      <c r="C66" t="s">
        <v>14</v>
      </c>
      <c r="D66" t="s">
        <v>30</v>
      </c>
      <c r="E66" t="s">
        <v>52</v>
      </c>
      <c r="F66" s="1">
        <v>43959</v>
      </c>
      <c r="G66" t="s">
        <v>24</v>
      </c>
      <c r="H66">
        <v>19183.168885395498</v>
      </c>
      <c r="I66" t="s">
        <v>25</v>
      </c>
      <c r="J66" s="1">
        <v>43983</v>
      </c>
      <c r="K66" t="s">
        <v>32</v>
      </c>
      <c r="L66" t="s">
        <v>37</v>
      </c>
      <c r="M66">
        <f>YEAR(Table2[[#This Row],[Date of Admission]])</f>
        <v>2020</v>
      </c>
    </row>
    <row r="67" spans="1:13" x14ac:dyDescent="0.2">
      <c r="A67" t="s">
        <v>112</v>
      </c>
      <c r="B67">
        <v>27</v>
      </c>
      <c r="C67" t="s">
        <v>14</v>
      </c>
      <c r="D67" t="s">
        <v>45</v>
      </c>
      <c r="E67" t="s">
        <v>16</v>
      </c>
      <c r="F67" s="1">
        <v>43808</v>
      </c>
      <c r="G67" t="s">
        <v>24</v>
      </c>
      <c r="H67">
        <v>8320.6608032874301</v>
      </c>
      <c r="I67" t="s">
        <v>18</v>
      </c>
      <c r="J67" s="1">
        <v>43820</v>
      </c>
      <c r="K67" t="s">
        <v>53</v>
      </c>
      <c r="L67" t="s">
        <v>37</v>
      </c>
      <c r="M67">
        <f>YEAR(Table2[[#This Row],[Date of Admission]])</f>
        <v>2019</v>
      </c>
    </row>
    <row r="68" spans="1:13" x14ac:dyDescent="0.2">
      <c r="A68" t="s">
        <v>113</v>
      </c>
      <c r="B68">
        <v>59</v>
      </c>
      <c r="C68" t="s">
        <v>14</v>
      </c>
      <c r="D68" t="s">
        <v>63</v>
      </c>
      <c r="E68" t="s">
        <v>35</v>
      </c>
      <c r="F68" s="1">
        <v>43790</v>
      </c>
      <c r="G68" t="s">
        <v>24</v>
      </c>
      <c r="H68">
        <v>10107.1876510572</v>
      </c>
      <c r="I68" t="s">
        <v>25</v>
      </c>
      <c r="J68" s="1">
        <v>43807</v>
      </c>
      <c r="K68" t="s">
        <v>40</v>
      </c>
      <c r="L68" t="s">
        <v>37</v>
      </c>
      <c r="M68">
        <f>YEAR(Table2[[#This Row],[Date of Admission]])</f>
        <v>2019</v>
      </c>
    </row>
    <row r="69" spans="1:13" x14ac:dyDescent="0.2">
      <c r="A69" t="s">
        <v>78</v>
      </c>
      <c r="B69">
        <v>27</v>
      </c>
      <c r="C69" t="s">
        <v>14</v>
      </c>
      <c r="D69" t="s">
        <v>15</v>
      </c>
      <c r="E69" t="s">
        <v>52</v>
      </c>
      <c r="F69" s="1">
        <v>44933</v>
      </c>
      <c r="G69" t="s">
        <v>47</v>
      </c>
      <c r="H69">
        <v>49402.298372527097</v>
      </c>
      <c r="I69" t="s">
        <v>36</v>
      </c>
      <c r="J69" s="1">
        <v>44953</v>
      </c>
      <c r="K69" t="s">
        <v>53</v>
      </c>
      <c r="L69" t="s">
        <v>27</v>
      </c>
      <c r="M69">
        <f>YEAR(Table2[[#This Row],[Date of Admission]])</f>
        <v>2023</v>
      </c>
    </row>
    <row r="70" spans="1:13" x14ac:dyDescent="0.2">
      <c r="A70" t="s">
        <v>114</v>
      </c>
      <c r="B70">
        <v>31</v>
      </c>
      <c r="C70" t="s">
        <v>14</v>
      </c>
      <c r="D70" t="s">
        <v>63</v>
      </c>
      <c r="E70" t="s">
        <v>35</v>
      </c>
      <c r="F70" s="1">
        <v>45328</v>
      </c>
      <c r="G70" t="s">
        <v>43</v>
      </c>
      <c r="H70">
        <v>35776.815111453703</v>
      </c>
      <c r="I70" t="s">
        <v>25</v>
      </c>
      <c r="J70" s="1">
        <v>45332</v>
      </c>
      <c r="K70" t="s">
        <v>40</v>
      </c>
      <c r="L70" t="s">
        <v>20</v>
      </c>
      <c r="M70">
        <f>YEAR(Table2[[#This Row],[Date of Admission]])</f>
        <v>2024</v>
      </c>
    </row>
    <row r="71" spans="1:13" x14ac:dyDescent="0.2">
      <c r="A71" t="s">
        <v>115</v>
      </c>
      <c r="B71">
        <v>19</v>
      </c>
      <c r="C71" t="s">
        <v>29</v>
      </c>
      <c r="D71" t="s">
        <v>22</v>
      </c>
      <c r="E71" t="s">
        <v>59</v>
      </c>
      <c r="F71" s="1">
        <v>43860</v>
      </c>
      <c r="G71" t="s">
        <v>24</v>
      </c>
      <c r="H71">
        <v>20227.863726744701</v>
      </c>
      <c r="I71" t="s">
        <v>36</v>
      </c>
      <c r="J71" s="1">
        <v>43873</v>
      </c>
      <c r="K71" t="s">
        <v>40</v>
      </c>
      <c r="L71" t="s">
        <v>20</v>
      </c>
      <c r="M71">
        <f>YEAR(Table2[[#This Row],[Date of Admission]])</f>
        <v>2020</v>
      </c>
    </row>
    <row r="72" spans="1:13" x14ac:dyDescent="0.2">
      <c r="A72" t="s">
        <v>116</v>
      </c>
      <c r="B72">
        <v>29</v>
      </c>
      <c r="C72" t="s">
        <v>29</v>
      </c>
      <c r="D72" t="s">
        <v>34</v>
      </c>
      <c r="E72" t="s">
        <v>16</v>
      </c>
      <c r="F72" s="1">
        <v>44858</v>
      </c>
      <c r="G72" t="s">
        <v>17</v>
      </c>
      <c r="H72">
        <v>19328.118579079899</v>
      </c>
      <c r="I72" t="s">
        <v>18</v>
      </c>
      <c r="J72" s="1">
        <v>44872</v>
      </c>
      <c r="K72" t="s">
        <v>26</v>
      </c>
      <c r="L72" t="s">
        <v>20</v>
      </c>
      <c r="M72">
        <f>YEAR(Table2[[#This Row],[Date of Admission]])</f>
        <v>2022</v>
      </c>
    </row>
    <row r="73" spans="1:13" x14ac:dyDescent="0.2">
      <c r="A73" t="s">
        <v>117</v>
      </c>
      <c r="B73">
        <v>18</v>
      </c>
      <c r="C73" t="s">
        <v>14</v>
      </c>
      <c r="D73" t="s">
        <v>30</v>
      </c>
      <c r="E73" t="s">
        <v>23</v>
      </c>
      <c r="F73" s="1">
        <v>44570</v>
      </c>
      <c r="G73" t="s">
        <v>31</v>
      </c>
      <c r="H73">
        <v>46956.545730632402</v>
      </c>
      <c r="I73" t="s">
        <v>25</v>
      </c>
      <c r="J73" s="1">
        <v>44576</v>
      </c>
      <c r="K73" t="s">
        <v>32</v>
      </c>
      <c r="L73" t="s">
        <v>27</v>
      </c>
      <c r="M73">
        <f>YEAR(Table2[[#This Row],[Date of Admission]])</f>
        <v>2022</v>
      </c>
    </row>
    <row r="74" spans="1:13" x14ac:dyDescent="0.2">
      <c r="A74" t="s">
        <v>118</v>
      </c>
      <c r="B74">
        <v>24</v>
      </c>
      <c r="C74" t="s">
        <v>14</v>
      </c>
      <c r="D74" t="s">
        <v>45</v>
      </c>
      <c r="E74" t="s">
        <v>16</v>
      </c>
      <c r="F74" s="1">
        <v>45288</v>
      </c>
      <c r="G74" t="s">
        <v>47</v>
      </c>
      <c r="H74">
        <v>10709.690388900101</v>
      </c>
      <c r="I74" t="s">
        <v>25</v>
      </c>
      <c r="J74" s="1">
        <v>45293</v>
      </c>
      <c r="K74" t="s">
        <v>19</v>
      </c>
      <c r="L74" t="s">
        <v>37</v>
      </c>
      <c r="M74">
        <f>YEAR(Table2[[#This Row],[Date of Admission]])</f>
        <v>2023</v>
      </c>
    </row>
    <row r="75" spans="1:13" x14ac:dyDescent="0.2">
      <c r="A75" t="s">
        <v>119</v>
      </c>
      <c r="B75">
        <v>27</v>
      </c>
      <c r="C75" t="s">
        <v>14</v>
      </c>
      <c r="D75" t="s">
        <v>45</v>
      </c>
      <c r="E75" t="s">
        <v>35</v>
      </c>
      <c r="F75" s="1">
        <v>44455</v>
      </c>
      <c r="G75" t="s">
        <v>31</v>
      </c>
      <c r="H75">
        <v>45353.990777385399</v>
      </c>
      <c r="I75" t="s">
        <v>18</v>
      </c>
      <c r="J75" s="1">
        <v>44483</v>
      </c>
      <c r="K75" t="s">
        <v>40</v>
      </c>
      <c r="L75" t="s">
        <v>37</v>
      </c>
      <c r="M75">
        <f>YEAR(Table2[[#This Row],[Date of Admission]])</f>
        <v>2021</v>
      </c>
    </row>
    <row r="76" spans="1:13" x14ac:dyDescent="0.2">
      <c r="A76" t="s">
        <v>120</v>
      </c>
      <c r="B76">
        <v>57</v>
      </c>
      <c r="C76" t="s">
        <v>29</v>
      </c>
      <c r="D76" t="s">
        <v>45</v>
      </c>
      <c r="E76" t="s">
        <v>59</v>
      </c>
      <c r="F76" s="1">
        <v>45131</v>
      </c>
      <c r="G76" t="s">
        <v>31</v>
      </c>
      <c r="H76">
        <v>8451.0017584789493</v>
      </c>
      <c r="I76" t="s">
        <v>36</v>
      </c>
      <c r="J76" s="1">
        <v>45149</v>
      </c>
      <c r="K76" t="s">
        <v>19</v>
      </c>
      <c r="L76" t="s">
        <v>37</v>
      </c>
      <c r="M76">
        <f>YEAR(Table2[[#This Row],[Date of Admission]])</f>
        <v>2023</v>
      </c>
    </row>
    <row r="77" spans="1:13" x14ac:dyDescent="0.2">
      <c r="A77" t="s">
        <v>121</v>
      </c>
      <c r="B77">
        <v>74</v>
      </c>
      <c r="C77" t="s">
        <v>29</v>
      </c>
      <c r="D77" t="s">
        <v>22</v>
      </c>
      <c r="E77" t="s">
        <v>59</v>
      </c>
      <c r="F77" s="1">
        <v>44513</v>
      </c>
      <c r="G77" t="s">
        <v>43</v>
      </c>
      <c r="H77">
        <v>29850.8797281837</v>
      </c>
      <c r="I77" t="s">
        <v>25</v>
      </c>
      <c r="J77" s="1">
        <v>44537</v>
      </c>
      <c r="K77" t="s">
        <v>19</v>
      </c>
      <c r="L77" t="s">
        <v>27</v>
      </c>
      <c r="M77">
        <f>YEAR(Table2[[#This Row],[Date of Admission]])</f>
        <v>2021</v>
      </c>
    </row>
    <row r="78" spans="1:13" x14ac:dyDescent="0.2">
      <c r="A78" t="s">
        <v>122</v>
      </c>
      <c r="B78">
        <v>22</v>
      </c>
      <c r="C78" t="s">
        <v>29</v>
      </c>
      <c r="D78" t="s">
        <v>30</v>
      </c>
      <c r="E78" t="s">
        <v>59</v>
      </c>
      <c r="F78" s="1">
        <v>45210</v>
      </c>
      <c r="G78" t="s">
        <v>17</v>
      </c>
      <c r="H78">
        <v>42696.521163899102</v>
      </c>
      <c r="I78" t="s">
        <v>18</v>
      </c>
      <c r="J78" s="1">
        <v>45226</v>
      </c>
      <c r="K78" t="s">
        <v>40</v>
      </c>
      <c r="L78" t="s">
        <v>20</v>
      </c>
      <c r="M78">
        <f>YEAR(Table2[[#This Row],[Date of Admission]])</f>
        <v>2023</v>
      </c>
    </row>
    <row r="79" spans="1:13" x14ac:dyDescent="0.2">
      <c r="A79" t="s">
        <v>123</v>
      </c>
      <c r="B79">
        <v>33</v>
      </c>
      <c r="C79" t="s">
        <v>29</v>
      </c>
      <c r="D79" t="s">
        <v>15</v>
      </c>
      <c r="E79" t="s">
        <v>35</v>
      </c>
      <c r="F79" s="1">
        <v>44226</v>
      </c>
      <c r="G79" t="s">
        <v>47</v>
      </c>
      <c r="H79">
        <v>2305.1391395384899</v>
      </c>
      <c r="I79" t="s">
        <v>25</v>
      </c>
      <c r="J79" s="1">
        <v>44231</v>
      </c>
      <c r="K79" t="s">
        <v>40</v>
      </c>
      <c r="L79" t="s">
        <v>27</v>
      </c>
      <c r="M79">
        <f>YEAR(Table2[[#This Row],[Date of Admission]])</f>
        <v>2021</v>
      </c>
    </row>
    <row r="80" spans="1:13" x14ac:dyDescent="0.2">
      <c r="A80" t="s">
        <v>124</v>
      </c>
      <c r="B80">
        <v>57</v>
      </c>
      <c r="C80" t="s">
        <v>14</v>
      </c>
      <c r="D80" t="s">
        <v>63</v>
      </c>
      <c r="E80" t="s">
        <v>59</v>
      </c>
      <c r="F80" s="1">
        <v>44521</v>
      </c>
      <c r="G80" t="s">
        <v>43</v>
      </c>
      <c r="H80">
        <v>44437.470673357202</v>
      </c>
      <c r="I80" t="s">
        <v>25</v>
      </c>
      <c r="J80" s="1">
        <v>44535</v>
      </c>
      <c r="K80" t="s">
        <v>40</v>
      </c>
      <c r="L80" t="s">
        <v>27</v>
      </c>
      <c r="M80">
        <f>YEAR(Table2[[#This Row],[Date of Admission]])</f>
        <v>2021</v>
      </c>
    </row>
    <row r="81" spans="1:13" x14ac:dyDescent="0.2">
      <c r="A81" t="s">
        <v>125</v>
      </c>
      <c r="B81">
        <v>61</v>
      </c>
      <c r="C81" t="s">
        <v>14</v>
      </c>
      <c r="D81" t="s">
        <v>63</v>
      </c>
      <c r="E81" t="s">
        <v>16</v>
      </c>
      <c r="F81" s="1">
        <v>45353</v>
      </c>
      <c r="G81" t="s">
        <v>43</v>
      </c>
      <c r="H81">
        <v>29504.387442211399</v>
      </c>
      <c r="I81" t="s">
        <v>18</v>
      </c>
      <c r="J81" s="1">
        <v>45377</v>
      </c>
      <c r="K81" t="s">
        <v>26</v>
      </c>
      <c r="L81" t="s">
        <v>27</v>
      </c>
      <c r="M81">
        <f>YEAR(Table2[[#This Row],[Date of Admission]])</f>
        <v>2024</v>
      </c>
    </row>
    <row r="82" spans="1:13" x14ac:dyDescent="0.2">
      <c r="A82" t="s">
        <v>126</v>
      </c>
      <c r="B82">
        <v>20</v>
      </c>
      <c r="C82" t="s">
        <v>14</v>
      </c>
      <c r="D82" t="s">
        <v>34</v>
      </c>
      <c r="E82" t="s">
        <v>59</v>
      </c>
      <c r="F82" s="1">
        <v>44169</v>
      </c>
      <c r="G82" t="s">
        <v>17</v>
      </c>
      <c r="H82">
        <v>34617.788344937202</v>
      </c>
      <c r="I82" t="s">
        <v>25</v>
      </c>
      <c r="J82" s="1">
        <v>44173</v>
      </c>
      <c r="K82" t="s">
        <v>26</v>
      </c>
      <c r="L82" t="s">
        <v>37</v>
      </c>
      <c r="M82">
        <f>YEAR(Table2[[#This Row],[Date of Admission]])</f>
        <v>2020</v>
      </c>
    </row>
    <row r="83" spans="1:13" x14ac:dyDescent="0.2">
      <c r="A83" t="s">
        <v>127</v>
      </c>
      <c r="B83">
        <v>67</v>
      </c>
      <c r="C83" t="s">
        <v>14</v>
      </c>
      <c r="D83" t="s">
        <v>39</v>
      </c>
      <c r="E83" t="s">
        <v>52</v>
      </c>
      <c r="F83" s="1">
        <v>44069</v>
      </c>
      <c r="G83" t="s">
        <v>31</v>
      </c>
      <c r="H83">
        <v>46814.011195111598</v>
      </c>
      <c r="I83" t="s">
        <v>18</v>
      </c>
      <c r="J83" s="1">
        <v>44070</v>
      </c>
      <c r="K83" t="s">
        <v>40</v>
      </c>
      <c r="L83" t="s">
        <v>37</v>
      </c>
      <c r="M83">
        <f>YEAR(Table2[[#This Row],[Date of Admission]])</f>
        <v>2020</v>
      </c>
    </row>
    <row r="84" spans="1:13" x14ac:dyDescent="0.2">
      <c r="A84" t="s">
        <v>128</v>
      </c>
      <c r="B84">
        <v>80</v>
      </c>
      <c r="C84" t="s">
        <v>29</v>
      </c>
      <c r="D84" t="s">
        <v>45</v>
      </c>
      <c r="E84" t="s">
        <v>35</v>
      </c>
      <c r="F84" s="1">
        <v>45242</v>
      </c>
      <c r="G84" t="s">
        <v>17</v>
      </c>
      <c r="H84">
        <v>20257.544282932398</v>
      </c>
      <c r="I84" t="s">
        <v>36</v>
      </c>
      <c r="J84" s="1">
        <v>45272</v>
      </c>
      <c r="K84" t="s">
        <v>40</v>
      </c>
      <c r="L84" t="s">
        <v>37</v>
      </c>
      <c r="M84">
        <f>YEAR(Table2[[#This Row],[Date of Admission]])</f>
        <v>2023</v>
      </c>
    </row>
    <row r="85" spans="1:13" x14ac:dyDescent="0.2">
      <c r="A85" t="s">
        <v>129</v>
      </c>
      <c r="B85">
        <v>44</v>
      </c>
      <c r="C85" t="s">
        <v>14</v>
      </c>
      <c r="D85" t="s">
        <v>34</v>
      </c>
      <c r="E85" t="s">
        <v>23</v>
      </c>
      <c r="F85" s="1">
        <v>43981</v>
      </c>
      <c r="G85" t="s">
        <v>47</v>
      </c>
      <c r="H85">
        <v>22841.363876905602</v>
      </c>
      <c r="I85" t="s">
        <v>25</v>
      </c>
      <c r="J85" s="1">
        <v>43996</v>
      </c>
      <c r="K85" t="s">
        <v>32</v>
      </c>
      <c r="L85" t="s">
        <v>27</v>
      </c>
      <c r="M85">
        <f>YEAR(Table2[[#This Row],[Date of Admission]])</f>
        <v>2020</v>
      </c>
    </row>
    <row r="86" spans="1:13" x14ac:dyDescent="0.2">
      <c r="A86" t="s">
        <v>130</v>
      </c>
      <c r="B86">
        <v>26</v>
      </c>
      <c r="C86" t="s">
        <v>29</v>
      </c>
      <c r="D86" t="s">
        <v>15</v>
      </c>
      <c r="E86" t="s">
        <v>42</v>
      </c>
      <c r="F86" s="1">
        <v>45058</v>
      </c>
      <c r="G86" t="s">
        <v>24</v>
      </c>
      <c r="H86">
        <v>10283.716858129101</v>
      </c>
      <c r="I86" t="s">
        <v>25</v>
      </c>
      <c r="J86" s="1">
        <v>45087</v>
      </c>
      <c r="K86" t="s">
        <v>26</v>
      </c>
      <c r="L86" t="s">
        <v>37</v>
      </c>
      <c r="M86">
        <f>YEAR(Table2[[#This Row],[Date of Admission]])</f>
        <v>2023</v>
      </c>
    </row>
    <row r="87" spans="1:13" x14ac:dyDescent="0.2">
      <c r="A87" t="s">
        <v>131</v>
      </c>
      <c r="B87">
        <v>80</v>
      </c>
      <c r="C87" t="s">
        <v>14</v>
      </c>
      <c r="D87" t="s">
        <v>39</v>
      </c>
      <c r="E87" t="s">
        <v>16</v>
      </c>
      <c r="F87" s="1">
        <v>44749</v>
      </c>
      <c r="G87" t="s">
        <v>43</v>
      </c>
      <c r="H87">
        <v>1586.4766014382801</v>
      </c>
      <c r="I87" t="s">
        <v>25</v>
      </c>
      <c r="J87" s="1">
        <v>44765</v>
      </c>
      <c r="K87" t="s">
        <v>26</v>
      </c>
      <c r="L87" t="s">
        <v>20</v>
      </c>
      <c r="M87">
        <f>YEAR(Table2[[#This Row],[Date of Admission]])</f>
        <v>2022</v>
      </c>
    </row>
    <row r="88" spans="1:13" x14ac:dyDescent="0.2">
      <c r="A88" t="s">
        <v>132</v>
      </c>
      <c r="B88">
        <v>63</v>
      </c>
      <c r="C88" t="s">
        <v>14</v>
      </c>
      <c r="D88" t="s">
        <v>15</v>
      </c>
      <c r="E88" t="s">
        <v>42</v>
      </c>
      <c r="F88" s="1">
        <v>44098</v>
      </c>
      <c r="G88" t="s">
        <v>31</v>
      </c>
      <c r="H88">
        <v>34774.351127057504</v>
      </c>
      <c r="I88" t="s">
        <v>25</v>
      </c>
      <c r="J88" s="1">
        <v>44112</v>
      </c>
      <c r="K88" t="s">
        <v>40</v>
      </c>
      <c r="L88" t="s">
        <v>27</v>
      </c>
      <c r="M88">
        <f>YEAR(Table2[[#This Row],[Date of Admission]])</f>
        <v>2020</v>
      </c>
    </row>
    <row r="89" spans="1:13" x14ac:dyDescent="0.2">
      <c r="A89" t="s">
        <v>133</v>
      </c>
      <c r="B89">
        <v>58</v>
      </c>
      <c r="C89" t="s">
        <v>29</v>
      </c>
      <c r="D89" t="s">
        <v>15</v>
      </c>
      <c r="E89" t="s">
        <v>59</v>
      </c>
      <c r="F89" s="1">
        <v>45157</v>
      </c>
      <c r="G89" t="s">
        <v>43</v>
      </c>
      <c r="H89">
        <v>24870.1036589338</v>
      </c>
      <c r="I89" t="s">
        <v>25</v>
      </c>
      <c r="J89" s="1">
        <v>45163</v>
      </c>
      <c r="K89" t="s">
        <v>26</v>
      </c>
      <c r="L89" t="s">
        <v>27</v>
      </c>
      <c r="M89">
        <f>YEAR(Table2[[#This Row],[Date of Admission]])</f>
        <v>2023</v>
      </c>
    </row>
    <row r="90" spans="1:13" x14ac:dyDescent="0.2">
      <c r="A90" t="s">
        <v>134</v>
      </c>
      <c r="B90">
        <v>38</v>
      </c>
      <c r="C90" t="s">
        <v>29</v>
      </c>
      <c r="D90" t="s">
        <v>22</v>
      </c>
      <c r="E90" t="s">
        <v>16</v>
      </c>
      <c r="F90" s="1">
        <v>45062</v>
      </c>
      <c r="G90" t="s">
        <v>47</v>
      </c>
      <c r="H90">
        <v>39476.947514379899</v>
      </c>
      <c r="I90" t="s">
        <v>36</v>
      </c>
      <c r="J90" s="1">
        <v>45078</v>
      </c>
      <c r="K90" t="s">
        <v>32</v>
      </c>
      <c r="L90" t="s">
        <v>37</v>
      </c>
      <c r="M90">
        <f>YEAR(Table2[[#This Row],[Date of Admission]])</f>
        <v>2023</v>
      </c>
    </row>
    <row r="91" spans="1:13" x14ac:dyDescent="0.2">
      <c r="A91" t="s">
        <v>135</v>
      </c>
      <c r="B91">
        <v>60</v>
      </c>
      <c r="C91" t="s">
        <v>14</v>
      </c>
      <c r="D91" t="s">
        <v>63</v>
      </c>
      <c r="E91" t="s">
        <v>52</v>
      </c>
      <c r="F91" s="1">
        <v>44795</v>
      </c>
      <c r="G91" t="s">
        <v>17</v>
      </c>
      <c r="H91">
        <v>26062.434320290999</v>
      </c>
      <c r="I91" t="s">
        <v>36</v>
      </c>
      <c r="J91" s="1">
        <v>44811</v>
      </c>
      <c r="K91" t="s">
        <v>19</v>
      </c>
      <c r="L91" t="s">
        <v>27</v>
      </c>
      <c r="M91">
        <f>YEAR(Table2[[#This Row],[Date of Admission]])</f>
        <v>2022</v>
      </c>
    </row>
    <row r="92" spans="1:13" x14ac:dyDescent="0.2">
      <c r="A92" t="s">
        <v>136</v>
      </c>
      <c r="B92">
        <v>49</v>
      </c>
      <c r="C92" t="s">
        <v>14</v>
      </c>
      <c r="D92" t="s">
        <v>63</v>
      </c>
      <c r="E92" t="s">
        <v>16</v>
      </c>
      <c r="F92" s="1">
        <v>44729</v>
      </c>
      <c r="G92" t="s">
        <v>24</v>
      </c>
      <c r="H92">
        <v>25302.112634011199</v>
      </c>
      <c r="I92" t="s">
        <v>36</v>
      </c>
      <c r="J92" s="1">
        <v>44740</v>
      </c>
      <c r="K92" t="s">
        <v>40</v>
      </c>
      <c r="L92" t="s">
        <v>37</v>
      </c>
      <c r="M92">
        <f>YEAR(Table2[[#This Row],[Date of Admission]])</f>
        <v>2022</v>
      </c>
    </row>
    <row r="93" spans="1:13" x14ac:dyDescent="0.2">
      <c r="A93" t="s">
        <v>137</v>
      </c>
      <c r="B93">
        <v>80</v>
      </c>
      <c r="C93" t="s">
        <v>14</v>
      </c>
      <c r="D93" t="s">
        <v>22</v>
      </c>
      <c r="E93" t="s">
        <v>35</v>
      </c>
      <c r="F93" s="1">
        <v>44870</v>
      </c>
      <c r="G93" t="s">
        <v>43</v>
      </c>
      <c r="H93">
        <v>10661.510649132701</v>
      </c>
      <c r="I93" t="s">
        <v>25</v>
      </c>
      <c r="J93" s="1">
        <v>44890</v>
      </c>
      <c r="K93" t="s">
        <v>53</v>
      </c>
      <c r="L93" t="s">
        <v>37</v>
      </c>
      <c r="M93">
        <f>YEAR(Table2[[#This Row],[Date of Admission]])</f>
        <v>2022</v>
      </c>
    </row>
    <row r="94" spans="1:13" x14ac:dyDescent="0.2">
      <c r="A94" t="s">
        <v>138</v>
      </c>
      <c r="B94">
        <v>35</v>
      </c>
      <c r="C94" t="s">
        <v>29</v>
      </c>
      <c r="D94" t="s">
        <v>63</v>
      </c>
      <c r="E94" t="s">
        <v>35</v>
      </c>
      <c r="F94" s="1">
        <v>44449</v>
      </c>
      <c r="G94" t="s">
        <v>17</v>
      </c>
      <c r="H94">
        <v>30358.194579544699</v>
      </c>
      <c r="I94" t="s">
        <v>36</v>
      </c>
      <c r="J94" s="1">
        <v>44457</v>
      </c>
      <c r="K94" t="s">
        <v>26</v>
      </c>
      <c r="L94" t="s">
        <v>27</v>
      </c>
      <c r="M94">
        <f>YEAR(Table2[[#This Row],[Date of Admission]])</f>
        <v>2021</v>
      </c>
    </row>
    <row r="95" spans="1:13" x14ac:dyDescent="0.2">
      <c r="A95" t="s">
        <v>139</v>
      </c>
      <c r="B95">
        <v>84</v>
      </c>
      <c r="C95" t="s">
        <v>14</v>
      </c>
      <c r="D95" t="s">
        <v>22</v>
      </c>
      <c r="E95" t="s">
        <v>42</v>
      </c>
      <c r="F95" s="1">
        <v>44810</v>
      </c>
      <c r="G95" t="s">
        <v>47</v>
      </c>
      <c r="H95">
        <v>23684.525472744801</v>
      </c>
      <c r="I95" t="s">
        <v>18</v>
      </c>
      <c r="J95" s="1">
        <v>44831</v>
      </c>
      <c r="K95" t="s">
        <v>26</v>
      </c>
      <c r="L95" t="s">
        <v>27</v>
      </c>
      <c r="M95">
        <f>YEAR(Table2[[#This Row],[Date of Admission]])</f>
        <v>2022</v>
      </c>
    </row>
    <row r="96" spans="1:13" x14ac:dyDescent="0.2">
      <c r="A96" t="s">
        <v>140</v>
      </c>
      <c r="B96">
        <v>76</v>
      </c>
      <c r="C96" t="s">
        <v>14</v>
      </c>
      <c r="D96" t="s">
        <v>22</v>
      </c>
      <c r="E96" t="s">
        <v>35</v>
      </c>
      <c r="F96" s="1">
        <v>44303</v>
      </c>
      <c r="G96" t="s">
        <v>31</v>
      </c>
      <c r="H96">
        <v>3908.9465679463101</v>
      </c>
      <c r="I96" t="s">
        <v>36</v>
      </c>
      <c r="J96" s="1">
        <v>44326</v>
      </c>
      <c r="K96" t="s">
        <v>53</v>
      </c>
      <c r="L96" t="s">
        <v>27</v>
      </c>
      <c r="M96">
        <f>YEAR(Table2[[#This Row],[Date of Admission]])</f>
        <v>2021</v>
      </c>
    </row>
    <row r="97" spans="1:13" x14ac:dyDescent="0.2">
      <c r="A97" t="s">
        <v>141</v>
      </c>
      <c r="B97">
        <v>79</v>
      </c>
      <c r="C97" t="s">
        <v>29</v>
      </c>
      <c r="D97" t="s">
        <v>30</v>
      </c>
      <c r="E97" t="s">
        <v>52</v>
      </c>
      <c r="F97" s="1">
        <v>43696</v>
      </c>
      <c r="G97" t="s">
        <v>24</v>
      </c>
      <c r="H97">
        <v>25503.673806851999</v>
      </c>
      <c r="I97" t="s">
        <v>36</v>
      </c>
      <c r="J97" s="1">
        <v>43703</v>
      </c>
      <c r="K97" t="s">
        <v>53</v>
      </c>
      <c r="L97" t="s">
        <v>37</v>
      </c>
      <c r="M97">
        <f>YEAR(Table2[[#This Row],[Date of Admission]])</f>
        <v>2019</v>
      </c>
    </row>
    <row r="98" spans="1:13" x14ac:dyDescent="0.2">
      <c r="A98" t="s">
        <v>142</v>
      </c>
      <c r="B98">
        <v>76</v>
      </c>
      <c r="C98" t="s">
        <v>29</v>
      </c>
      <c r="D98" t="s">
        <v>34</v>
      </c>
      <c r="E98" t="s">
        <v>35</v>
      </c>
      <c r="F98" s="1">
        <v>45375</v>
      </c>
      <c r="G98" t="s">
        <v>31</v>
      </c>
      <c r="H98">
        <v>6312.6076910185202</v>
      </c>
      <c r="I98" t="s">
        <v>36</v>
      </c>
      <c r="J98" s="1">
        <v>45396</v>
      </c>
      <c r="K98" t="s">
        <v>32</v>
      </c>
      <c r="L98" t="s">
        <v>37</v>
      </c>
      <c r="M98">
        <f>YEAR(Table2[[#This Row],[Date of Admission]])</f>
        <v>2024</v>
      </c>
    </row>
    <row r="99" spans="1:13" x14ac:dyDescent="0.2">
      <c r="A99" t="s">
        <v>143</v>
      </c>
      <c r="B99">
        <v>55</v>
      </c>
      <c r="C99" t="s">
        <v>29</v>
      </c>
      <c r="D99" t="s">
        <v>22</v>
      </c>
      <c r="E99" t="s">
        <v>35</v>
      </c>
      <c r="F99" s="1">
        <v>44905</v>
      </c>
      <c r="G99" t="s">
        <v>43</v>
      </c>
      <c r="H99">
        <v>21772.341398649602</v>
      </c>
      <c r="I99" t="s">
        <v>36</v>
      </c>
      <c r="J99" s="1">
        <v>44926</v>
      </c>
      <c r="K99" t="s">
        <v>26</v>
      </c>
      <c r="L99" t="s">
        <v>20</v>
      </c>
      <c r="M99">
        <f>YEAR(Table2[[#This Row],[Date of Admission]])</f>
        <v>2022</v>
      </c>
    </row>
    <row r="100" spans="1:13" x14ac:dyDescent="0.2">
      <c r="A100" t="s">
        <v>144</v>
      </c>
      <c r="B100">
        <v>53</v>
      </c>
      <c r="C100" t="s">
        <v>14</v>
      </c>
      <c r="D100" t="s">
        <v>15</v>
      </c>
      <c r="E100" t="s">
        <v>16</v>
      </c>
      <c r="F100" s="1">
        <v>44818</v>
      </c>
      <c r="G100" t="s">
        <v>17</v>
      </c>
      <c r="H100">
        <v>30437.001787640998</v>
      </c>
      <c r="I100" t="s">
        <v>36</v>
      </c>
      <c r="J100" s="1">
        <v>44822</v>
      </c>
      <c r="K100" t="s">
        <v>32</v>
      </c>
      <c r="L100" t="s">
        <v>20</v>
      </c>
      <c r="M100">
        <f>YEAR(Table2[[#This Row],[Date of Admission]])</f>
        <v>2022</v>
      </c>
    </row>
    <row r="101" spans="1:13" x14ac:dyDescent="0.2">
      <c r="A101" t="s">
        <v>145</v>
      </c>
      <c r="B101">
        <v>18</v>
      </c>
      <c r="C101" t="s">
        <v>14</v>
      </c>
      <c r="D101" t="s">
        <v>63</v>
      </c>
      <c r="E101" t="s">
        <v>42</v>
      </c>
      <c r="F101" s="1">
        <v>44852</v>
      </c>
      <c r="G101" t="s">
        <v>43</v>
      </c>
      <c r="H101">
        <v>28837.677052507199</v>
      </c>
      <c r="I101" t="s">
        <v>36</v>
      </c>
      <c r="J101" s="1">
        <v>44876</v>
      </c>
      <c r="K101" t="s">
        <v>32</v>
      </c>
      <c r="L101" t="s">
        <v>37</v>
      </c>
      <c r="M101">
        <f>YEAR(Table2[[#This Row],[Date of Admission]])</f>
        <v>2022</v>
      </c>
    </row>
    <row r="102" spans="1:13" x14ac:dyDescent="0.2">
      <c r="A102" t="s">
        <v>146</v>
      </c>
      <c r="B102">
        <v>69</v>
      </c>
      <c r="C102" t="s">
        <v>14</v>
      </c>
      <c r="D102" t="s">
        <v>34</v>
      </c>
      <c r="E102" t="s">
        <v>59</v>
      </c>
      <c r="F102" s="1">
        <v>44513</v>
      </c>
      <c r="G102" t="s">
        <v>47</v>
      </c>
      <c r="H102">
        <v>25425.727862607</v>
      </c>
      <c r="I102" t="s">
        <v>36</v>
      </c>
      <c r="J102" s="1">
        <v>44521</v>
      </c>
      <c r="K102" t="s">
        <v>32</v>
      </c>
      <c r="L102" t="s">
        <v>20</v>
      </c>
      <c r="M102">
        <f>YEAR(Table2[[#This Row],[Date of Admission]])</f>
        <v>2021</v>
      </c>
    </row>
    <row r="103" spans="1:13" x14ac:dyDescent="0.2">
      <c r="A103" t="s">
        <v>147</v>
      </c>
      <c r="B103">
        <v>70</v>
      </c>
      <c r="C103" t="s">
        <v>14</v>
      </c>
      <c r="D103" t="s">
        <v>63</v>
      </c>
      <c r="E103" t="s">
        <v>35</v>
      </c>
      <c r="F103" s="1">
        <v>44750</v>
      </c>
      <c r="G103" t="s">
        <v>31</v>
      </c>
      <c r="H103">
        <v>7187.2723460995003</v>
      </c>
      <c r="I103" t="s">
        <v>25</v>
      </c>
      <c r="J103" s="1">
        <v>44767</v>
      </c>
      <c r="K103" t="s">
        <v>32</v>
      </c>
      <c r="L103" t="s">
        <v>20</v>
      </c>
      <c r="M103">
        <f>YEAR(Table2[[#This Row],[Date of Admission]])</f>
        <v>2022</v>
      </c>
    </row>
    <row r="104" spans="1:13" x14ac:dyDescent="0.2">
      <c r="A104" t="s">
        <v>148</v>
      </c>
      <c r="B104">
        <v>21</v>
      </c>
      <c r="C104" t="s">
        <v>14</v>
      </c>
      <c r="D104" t="s">
        <v>22</v>
      </c>
      <c r="E104" t="s">
        <v>35</v>
      </c>
      <c r="F104" s="1">
        <v>45102</v>
      </c>
      <c r="G104" t="s">
        <v>43</v>
      </c>
      <c r="H104">
        <v>3125.7364766012502</v>
      </c>
      <c r="I104" t="s">
        <v>18</v>
      </c>
      <c r="J104" s="1">
        <v>45118</v>
      </c>
      <c r="K104" t="s">
        <v>26</v>
      </c>
      <c r="L104" t="s">
        <v>20</v>
      </c>
      <c r="M104">
        <f>YEAR(Table2[[#This Row],[Date of Admission]])</f>
        <v>2023</v>
      </c>
    </row>
    <row r="105" spans="1:13" x14ac:dyDescent="0.2">
      <c r="A105" t="s">
        <v>149</v>
      </c>
      <c r="B105">
        <v>47</v>
      </c>
      <c r="C105" t="s">
        <v>14</v>
      </c>
      <c r="D105" t="s">
        <v>30</v>
      </c>
      <c r="E105" t="s">
        <v>35</v>
      </c>
      <c r="F105" s="1">
        <v>43655</v>
      </c>
      <c r="G105" t="s">
        <v>24</v>
      </c>
      <c r="H105">
        <v>31516.1007343743</v>
      </c>
      <c r="I105" t="s">
        <v>36</v>
      </c>
      <c r="J105" s="1">
        <v>43682</v>
      </c>
      <c r="K105" t="s">
        <v>40</v>
      </c>
      <c r="L105" t="s">
        <v>27</v>
      </c>
      <c r="M105">
        <f>YEAR(Table2[[#This Row],[Date of Admission]])</f>
        <v>2019</v>
      </c>
    </row>
    <row r="106" spans="1:13" x14ac:dyDescent="0.2">
      <c r="A106" t="s">
        <v>150</v>
      </c>
      <c r="B106">
        <v>85</v>
      </c>
      <c r="C106" t="s">
        <v>14</v>
      </c>
      <c r="D106" t="s">
        <v>30</v>
      </c>
      <c r="E106" t="s">
        <v>59</v>
      </c>
      <c r="F106" s="1">
        <v>44330</v>
      </c>
      <c r="G106" t="s">
        <v>43</v>
      </c>
      <c r="H106">
        <v>40014.762348457902</v>
      </c>
      <c r="I106" t="s">
        <v>25</v>
      </c>
      <c r="J106" s="1">
        <v>44350</v>
      </c>
      <c r="K106" t="s">
        <v>32</v>
      </c>
      <c r="L106" t="s">
        <v>37</v>
      </c>
      <c r="M106">
        <f>YEAR(Table2[[#This Row],[Date of Admission]])</f>
        <v>2021</v>
      </c>
    </row>
    <row r="107" spans="1:13" x14ac:dyDescent="0.2">
      <c r="A107" t="s">
        <v>151</v>
      </c>
      <c r="B107">
        <v>28</v>
      </c>
      <c r="C107" t="s">
        <v>14</v>
      </c>
      <c r="D107" t="s">
        <v>34</v>
      </c>
      <c r="E107" t="s">
        <v>16</v>
      </c>
      <c r="F107" s="1">
        <v>45306</v>
      </c>
      <c r="G107" t="s">
        <v>24</v>
      </c>
      <c r="H107">
        <v>40782.9278084865</v>
      </c>
      <c r="I107" t="s">
        <v>36</v>
      </c>
      <c r="J107" s="1">
        <v>45329</v>
      </c>
      <c r="K107" t="s">
        <v>26</v>
      </c>
      <c r="L107" t="s">
        <v>37</v>
      </c>
      <c r="M107">
        <f>YEAR(Table2[[#This Row],[Date of Admission]])</f>
        <v>2024</v>
      </c>
    </row>
    <row r="108" spans="1:13" x14ac:dyDescent="0.2">
      <c r="A108" t="s">
        <v>152</v>
      </c>
      <c r="B108">
        <v>62</v>
      </c>
      <c r="C108" t="s">
        <v>14</v>
      </c>
      <c r="D108" t="s">
        <v>30</v>
      </c>
      <c r="E108" t="s">
        <v>23</v>
      </c>
      <c r="F108" s="1">
        <v>43738</v>
      </c>
      <c r="G108" t="s">
        <v>47</v>
      </c>
      <c r="H108">
        <v>3879.0846018133898</v>
      </c>
      <c r="I108" t="s">
        <v>36</v>
      </c>
      <c r="J108" s="1">
        <v>43753</v>
      </c>
      <c r="K108" t="s">
        <v>32</v>
      </c>
      <c r="L108" t="s">
        <v>27</v>
      </c>
      <c r="M108">
        <f>YEAR(Table2[[#This Row],[Date of Admission]])</f>
        <v>2019</v>
      </c>
    </row>
    <row r="109" spans="1:13" x14ac:dyDescent="0.2">
      <c r="A109" t="s">
        <v>153</v>
      </c>
      <c r="B109">
        <v>49</v>
      </c>
      <c r="C109" t="s">
        <v>29</v>
      </c>
      <c r="D109" t="s">
        <v>15</v>
      </c>
      <c r="E109" t="s">
        <v>59</v>
      </c>
      <c r="F109" s="1">
        <v>44260</v>
      </c>
      <c r="G109" t="s">
        <v>24</v>
      </c>
      <c r="H109">
        <v>24948.477824026901</v>
      </c>
      <c r="I109" t="s">
        <v>25</v>
      </c>
      <c r="J109" s="1">
        <v>44275</v>
      </c>
      <c r="K109" t="s">
        <v>40</v>
      </c>
      <c r="L109" t="s">
        <v>37</v>
      </c>
      <c r="M109">
        <f>YEAR(Table2[[#This Row],[Date of Admission]])</f>
        <v>2021</v>
      </c>
    </row>
    <row r="110" spans="1:13" x14ac:dyDescent="0.2">
      <c r="A110" t="s">
        <v>154</v>
      </c>
      <c r="B110">
        <v>52</v>
      </c>
      <c r="C110" t="s">
        <v>14</v>
      </c>
      <c r="D110" t="s">
        <v>45</v>
      </c>
      <c r="E110" t="s">
        <v>52</v>
      </c>
      <c r="F110" s="1">
        <v>44330</v>
      </c>
      <c r="G110" t="s">
        <v>47</v>
      </c>
      <c r="H110">
        <v>37734.7421803869</v>
      </c>
      <c r="I110" t="s">
        <v>36</v>
      </c>
      <c r="J110" s="1">
        <v>44353</v>
      </c>
      <c r="K110" t="s">
        <v>40</v>
      </c>
      <c r="L110" t="s">
        <v>37</v>
      </c>
      <c r="M110">
        <f>YEAR(Table2[[#This Row],[Date of Admission]])</f>
        <v>2021</v>
      </c>
    </row>
    <row r="111" spans="1:13" x14ac:dyDescent="0.2">
      <c r="A111" t="s">
        <v>155</v>
      </c>
      <c r="B111">
        <v>53</v>
      </c>
      <c r="C111" t="s">
        <v>14</v>
      </c>
      <c r="D111" t="s">
        <v>63</v>
      </c>
      <c r="E111" t="s">
        <v>16</v>
      </c>
      <c r="F111" s="1">
        <v>45085</v>
      </c>
      <c r="G111" t="s">
        <v>43</v>
      </c>
      <c r="H111">
        <v>27360.4618905512</v>
      </c>
      <c r="I111" t="s">
        <v>36</v>
      </c>
      <c r="J111" s="1">
        <v>45112</v>
      </c>
      <c r="K111" t="s">
        <v>26</v>
      </c>
      <c r="L111" t="s">
        <v>37</v>
      </c>
      <c r="M111">
        <f>YEAR(Table2[[#This Row],[Date of Admission]])</f>
        <v>2023</v>
      </c>
    </row>
    <row r="112" spans="1:13" x14ac:dyDescent="0.2">
      <c r="A112" t="s">
        <v>156</v>
      </c>
      <c r="B112">
        <v>55</v>
      </c>
      <c r="C112" t="s">
        <v>14</v>
      </c>
      <c r="D112" t="s">
        <v>45</v>
      </c>
      <c r="E112" t="s">
        <v>42</v>
      </c>
      <c r="F112" s="1">
        <v>44694</v>
      </c>
      <c r="G112" t="s">
        <v>31</v>
      </c>
      <c r="H112">
        <v>37405.696528631197</v>
      </c>
      <c r="I112" t="s">
        <v>36</v>
      </c>
      <c r="J112" s="1">
        <v>44701</v>
      </c>
      <c r="K112" t="s">
        <v>19</v>
      </c>
      <c r="L112" t="s">
        <v>20</v>
      </c>
      <c r="M112">
        <f>YEAR(Table2[[#This Row],[Date of Admission]])</f>
        <v>2022</v>
      </c>
    </row>
    <row r="113" spans="1:13" x14ac:dyDescent="0.2">
      <c r="A113" t="s">
        <v>157</v>
      </c>
      <c r="B113">
        <v>18</v>
      </c>
      <c r="C113" t="s">
        <v>14</v>
      </c>
      <c r="D113" t="s">
        <v>15</v>
      </c>
      <c r="E113" t="s">
        <v>59</v>
      </c>
      <c r="F113" s="1">
        <v>44826</v>
      </c>
      <c r="G113" t="s">
        <v>24</v>
      </c>
      <c r="H113">
        <v>31485.973161715901</v>
      </c>
      <c r="I113" t="s">
        <v>25</v>
      </c>
      <c r="J113" s="1">
        <v>44848</v>
      </c>
      <c r="K113" t="s">
        <v>26</v>
      </c>
      <c r="L113" t="s">
        <v>20</v>
      </c>
      <c r="M113">
        <f>YEAR(Table2[[#This Row],[Date of Admission]])</f>
        <v>2022</v>
      </c>
    </row>
    <row r="114" spans="1:13" x14ac:dyDescent="0.2">
      <c r="A114" t="s">
        <v>158</v>
      </c>
      <c r="B114">
        <v>52</v>
      </c>
      <c r="C114" t="s">
        <v>14</v>
      </c>
      <c r="D114" t="s">
        <v>45</v>
      </c>
      <c r="E114" t="s">
        <v>52</v>
      </c>
      <c r="F114" s="1">
        <v>45163</v>
      </c>
      <c r="G114" t="s">
        <v>24</v>
      </c>
      <c r="H114">
        <v>23737.399323627</v>
      </c>
      <c r="I114" t="s">
        <v>18</v>
      </c>
      <c r="J114" s="1">
        <v>45187</v>
      </c>
      <c r="K114" t="s">
        <v>53</v>
      </c>
      <c r="L114" t="s">
        <v>20</v>
      </c>
      <c r="M114">
        <f>YEAR(Table2[[#This Row],[Date of Admission]])</f>
        <v>2023</v>
      </c>
    </row>
    <row r="115" spans="1:13" x14ac:dyDescent="0.2">
      <c r="A115" t="s">
        <v>159</v>
      </c>
      <c r="B115">
        <v>67</v>
      </c>
      <c r="C115" t="s">
        <v>14</v>
      </c>
      <c r="D115" t="s">
        <v>45</v>
      </c>
      <c r="E115" t="s">
        <v>23</v>
      </c>
      <c r="F115" s="1">
        <v>43618</v>
      </c>
      <c r="G115" t="s">
        <v>31</v>
      </c>
      <c r="H115">
        <v>3326.3826746815098</v>
      </c>
      <c r="I115" t="s">
        <v>25</v>
      </c>
      <c r="J115" s="1">
        <v>43620</v>
      </c>
      <c r="K115" t="s">
        <v>53</v>
      </c>
      <c r="L115" t="s">
        <v>27</v>
      </c>
      <c r="M115">
        <f>YEAR(Table2[[#This Row],[Date of Admission]])</f>
        <v>2019</v>
      </c>
    </row>
    <row r="116" spans="1:13" x14ac:dyDescent="0.2">
      <c r="A116" t="s">
        <v>160</v>
      </c>
      <c r="B116">
        <v>82</v>
      </c>
      <c r="C116" t="s">
        <v>29</v>
      </c>
      <c r="D116" t="s">
        <v>22</v>
      </c>
      <c r="E116" t="s">
        <v>52</v>
      </c>
      <c r="F116" s="1">
        <v>44519</v>
      </c>
      <c r="G116" t="s">
        <v>24</v>
      </c>
      <c r="H116">
        <v>23067.6721652454</v>
      </c>
      <c r="I116" t="s">
        <v>36</v>
      </c>
      <c r="J116" s="1">
        <v>44542</v>
      </c>
      <c r="K116" t="s">
        <v>26</v>
      </c>
      <c r="L116" t="s">
        <v>20</v>
      </c>
      <c r="M116">
        <f>YEAR(Table2[[#This Row],[Date of Admission]])</f>
        <v>2021</v>
      </c>
    </row>
    <row r="117" spans="1:13" x14ac:dyDescent="0.2">
      <c r="A117" t="s">
        <v>161</v>
      </c>
      <c r="B117">
        <v>37</v>
      </c>
      <c r="C117" t="s">
        <v>29</v>
      </c>
      <c r="D117" t="s">
        <v>34</v>
      </c>
      <c r="E117" t="s">
        <v>42</v>
      </c>
      <c r="F117" s="1">
        <v>43801</v>
      </c>
      <c r="G117" t="s">
        <v>31</v>
      </c>
      <c r="H117">
        <v>8521.2142526710904</v>
      </c>
      <c r="I117" t="s">
        <v>36</v>
      </c>
      <c r="J117" s="1">
        <v>43812</v>
      </c>
      <c r="K117" t="s">
        <v>40</v>
      </c>
      <c r="L117" t="s">
        <v>37</v>
      </c>
      <c r="M117">
        <f>YEAR(Table2[[#This Row],[Date of Admission]])</f>
        <v>2019</v>
      </c>
    </row>
    <row r="118" spans="1:13" x14ac:dyDescent="0.2">
      <c r="A118" t="s">
        <v>162</v>
      </c>
      <c r="B118">
        <v>52</v>
      </c>
      <c r="C118" t="s">
        <v>29</v>
      </c>
      <c r="D118" t="s">
        <v>45</v>
      </c>
      <c r="E118" t="s">
        <v>16</v>
      </c>
      <c r="F118" s="1">
        <v>44064</v>
      </c>
      <c r="G118" t="s">
        <v>47</v>
      </c>
      <c r="H118">
        <v>47985.167338327701</v>
      </c>
      <c r="I118" t="s">
        <v>36</v>
      </c>
      <c r="J118" s="1">
        <v>44080</v>
      </c>
      <c r="K118" t="s">
        <v>40</v>
      </c>
      <c r="L118" t="s">
        <v>27</v>
      </c>
      <c r="M118">
        <f>YEAR(Table2[[#This Row],[Date of Admission]])</f>
        <v>2020</v>
      </c>
    </row>
    <row r="119" spans="1:13" x14ac:dyDescent="0.2">
      <c r="A119" t="s">
        <v>163</v>
      </c>
      <c r="B119">
        <v>37</v>
      </c>
      <c r="C119" t="s">
        <v>29</v>
      </c>
      <c r="D119" t="s">
        <v>63</v>
      </c>
      <c r="E119" t="s">
        <v>42</v>
      </c>
      <c r="F119" s="1">
        <v>44239</v>
      </c>
      <c r="G119" t="s">
        <v>43</v>
      </c>
      <c r="H119">
        <v>25230.246881802399</v>
      </c>
      <c r="I119" t="s">
        <v>36</v>
      </c>
      <c r="J119" s="1">
        <v>44266</v>
      </c>
      <c r="K119" t="s">
        <v>26</v>
      </c>
      <c r="L119" t="s">
        <v>27</v>
      </c>
      <c r="M119">
        <f>YEAR(Table2[[#This Row],[Date of Admission]])</f>
        <v>2021</v>
      </c>
    </row>
    <row r="120" spans="1:13" x14ac:dyDescent="0.2">
      <c r="A120" t="s">
        <v>164</v>
      </c>
      <c r="B120">
        <v>83</v>
      </c>
      <c r="C120" t="s">
        <v>29</v>
      </c>
      <c r="D120" t="s">
        <v>22</v>
      </c>
      <c r="E120" t="s">
        <v>35</v>
      </c>
      <c r="F120" s="1">
        <v>45304</v>
      </c>
      <c r="G120" t="s">
        <v>17</v>
      </c>
      <c r="H120">
        <v>10352.208486740799</v>
      </c>
      <c r="I120" t="s">
        <v>18</v>
      </c>
      <c r="J120" s="1">
        <v>45313</v>
      </c>
      <c r="K120" t="s">
        <v>32</v>
      </c>
      <c r="L120" t="s">
        <v>37</v>
      </c>
      <c r="M120">
        <f>YEAR(Table2[[#This Row],[Date of Admission]])</f>
        <v>2024</v>
      </c>
    </row>
    <row r="121" spans="1:13" x14ac:dyDescent="0.2">
      <c r="A121" t="s">
        <v>165</v>
      </c>
      <c r="B121">
        <v>33</v>
      </c>
      <c r="C121" t="s">
        <v>14</v>
      </c>
      <c r="D121" t="s">
        <v>71</v>
      </c>
      <c r="E121" t="s">
        <v>59</v>
      </c>
      <c r="F121" s="1">
        <v>44556</v>
      </c>
      <c r="G121" t="s">
        <v>24</v>
      </c>
      <c r="H121">
        <v>6175.8672492924197</v>
      </c>
      <c r="I121" t="s">
        <v>18</v>
      </c>
      <c r="J121" s="1">
        <v>44573</v>
      </c>
      <c r="K121" t="s">
        <v>32</v>
      </c>
      <c r="L121" t="s">
        <v>37</v>
      </c>
      <c r="M121">
        <f>YEAR(Table2[[#This Row],[Date of Admission]])</f>
        <v>2021</v>
      </c>
    </row>
    <row r="122" spans="1:13" x14ac:dyDescent="0.2">
      <c r="A122" t="s">
        <v>166</v>
      </c>
      <c r="B122">
        <v>22</v>
      </c>
      <c r="C122" t="s">
        <v>29</v>
      </c>
      <c r="D122" t="s">
        <v>30</v>
      </c>
      <c r="E122" t="s">
        <v>23</v>
      </c>
      <c r="F122" s="1">
        <v>44795</v>
      </c>
      <c r="G122" t="s">
        <v>17</v>
      </c>
      <c r="H122">
        <v>23499.936250978699</v>
      </c>
      <c r="I122" t="s">
        <v>18</v>
      </c>
      <c r="J122" s="1">
        <v>44811</v>
      </c>
      <c r="K122" t="s">
        <v>40</v>
      </c>
      <c r="L122" t="s">
        <v>20</v>
      </c>
      <c r="M122">
        <f>YEAR(Table2[[#This Row],[Date of Admission]])</f>
        <v>2022</v>
      </c>
    </row>
    <row r="123" spans="1:13" x14ac:dyDescent="0.2">
      <c r="A123" t="s">
        <v>167</v>
      </c>
      <c r="B123">
        <v>19</v>
      </c>
      <c r="C123" t="s">
        <v>29</v>
      </c>
      <c r="D123" t="s">
        <v>63</v>
      </c>
      <c r="E123" t="s">
        <v>16</v>
      </c>
      <c r="F123" s="1">
        <v>44380</v>
      </c>
      <c r="G123" t="s">
        <v>24</v>
      </c>
      <c r="H123">
        <v>33681.572644101499</v>
      </c>
      <c r="I123" t="s">
        <v>36</v>
      </c>
      <c r="J123" s="1">
        <v>44408</v>
      </c>
      <c r="K123" t="s">
        <v>26</v>
      </c>
      <c r="L123" t="s">
        <v>37</v>
      </c>
      <c r="M123">
        <f>YEAR(Table2[[#This Row],[Date of Admission]])</f>
        <v>2021</v>
      </c>
    </row>
    <row r="124" spans="1:13" x14ac:dyDescent="0.2">
      <c r="A124" t="s">
        <v>168</v>
      </c>
      <c r="B124">
        <v>85</v>
      </c>
      <c r="C124" t="s">
        <v>29</v>
      </c>
      <c r="D124" t="s">
        <v>34</v>
      </c>
      <c r="E124" t="s">
        <v>23</v>
      </c>
      <c r="F124" s="1">
        <v>43982</v>
      </c>
      <c r="G124" t="s">
        <v>31</v>
      </c>
      <c r="H124">
        <v>39957.940622229697</v>
      </c>
      <c r="I124" t="s">
        <v>18</v>
      </c>
      <c r="J124" s="1">
        <v>43983</v>
      </c>
      <c r="K124" t="s">
        <v>26</v>
      </c>
      <c r="L124" t="s">
        <v>20</v>
      </c>
      <c r="M124">
        <f>YEAR(Table2[[#This Row],[Date of Admission]])</f>
        <v>2020</v>
      </c>
    </row>
    <row r="125" spans="1:13" x14ac:dyDescent="0.2">
      <c r="A125" t="s">
        <v>169</v>
      </c>
      <c r="B125">
        <v>19</v>
      </c>
      <c r="C125" t="s">
        <v>14</v>
      </c>
      <c r="D125" t="s">
        <v>63</v>
      </c>
      <c r="E125" t="s">
        <v>16</v>
      </c>
      <c r="F125" s="1">
        <v>44130</v>
      </c>
      <c r="G125" t="s">
        <v>43</v>
      </c>
      <c r="H125">
        <v>49833.707717854501</v>
      </c>
      <c r="I125" t="s">
        <v>36</v>
      </c>
      <c r="J125" s="1">
        <v>44152</v>
      </c>
      <c r="K125" t="s">
        <v>53</v>
      </c>
      <c r="L125" t="s">
        <v>27</v>
      </c>
      <c r="M125">
        <f>YEAR(Table2[[#This Row],[Date of Admission]])</f>
        <v>2020</v>
      </c>
    </row>
    <row r="126" spans="1:13" x14ac:dyDescent="0.2">
      <c r="A126" t="s">
        <v>170</v>
      </c>
      <c r="B126">
        <v>50</v>
      </c>
      <c r="C126" t="s">
        <v>29</v>
      </c>
      <c r="D126" t="s">
        <v>15</v>
      </c>
      <c r="E126" t="s">
        <v>42</v>
      </c>
      <c r="F126" s="1">
        <v>44350</v>
      </c>
      <c r="G126" t="s">
        <v>31</v>
      </c>
      <c r="H126">
        <v>48175.466116807896</v>
      </c>
      <c r="I126" t="s">
        <v>18</v>
      </c>
      <c r="J126" s="1">
        <v>44378</v>
      </c>
      <c r="K126" t="s">
        <v>19</v>
      </c>
      <c r="L126" t="s">
        <v>27</v>
      </c>
      <c r="M126">
        <f>YEAR(Table2[[#This Row],[Date of Admission]])</f>
        <v>2021</v>
      </c>
    </row>
    <row r="127" spans="1:13" x14ac:dyDescent="0.2">
      <c r="A127" t="s">
        <v>171</v>
      </c>
      <c r="B127">
        <v>50</v>
      </c>
      <c r="C127" t="s">
        <v>29</v>
      </c>
      <c r="D127" t="s">
        <v>71</v>
      </c>
      <c r="E127" t="s">
        <v>23</v>
      </c>
      <c r="F127" s="1">
        <v>44128</v>
      </c>
      <c r="G127" t="s">
        <v>43</v>
      </c>
      <c r="H127">
        <v>40133.967392455103</v>
      </c>
      <c r="I127" t="s">
        <v>18</v>
      </c>
      <c r="J127" s="1">
        <v>44148</v>
      </c>
      <c r="K127" t="s">
        <v>26</v>
      </c>
      <c r="L127" t="s">
        <v>20</v>
      </c>
      <c r="M127">
        <f>YEAR(Table2[[#This Row],[Date of Admission]])</f>
        <v>2020</v>
      </c>
    </row>
    <row r="128" spans="1:13" x14ac:dyDescent="0.2">
      <c r="A128" t="s">
        <v>172</v>
      </c>
      <c r="B128">
        <v>40</v>
      </c>
      <c r="C128" t="s">
        <v>14</v>
      </c>
      <c r="D128" t="s">
        <v>34</v>
      </c>
      <c r="E128" t="s">
        <v>23</v>
      </c>
      <c r="F128" s="1">
        <v>43704</v>
      </c>
      <c r="G128" t="s">
        <v>31</v>
      </c>
      <c r="H128">
        <v>9585.9521279937198</v>
      </c>
      <c r="I128" t="s">
        <v>18</v>
      </c>
      <c r="J128" s="1">
        <v>43714</v>
      </c>
      <c r="K128" t="s">
        <v>53</v>
      </c>
      <c r="L128" t="s">
        <v>27</v>
      </c>
      <c r="M128">
        <f>YEAR(Table2[[#This Row],[Date of Admission]])</f>
        <v>2019</v>
      </c>
    </row>
    <row r="129" spans="1:13" x14ac:dyDescent="0.2">
      <c r="A129" t="s">
        <v>173</v>
      </c>
      <c r="B129">
        <v>57</v>
      </c>
      <c r="C129" t="s">
        <v>14</v>
      </c>
      <c r="D129" t="s">
        <v>45</v>
      </c>
      <c r="E129" t="s">
        <v>23</v>
      </c>
      <c r="F129" s="1">
        <v>44530</v>
      </c>
      <c r="G129" t="s">
        <v>24</v>
      </c>
      <c r="H129">
        <v>40693.354223953502</v>
      </c>
      <c r="I129" t="s">
        <v>25</v>
      </c>
      <c r="J129" s="1">
        <v>44539</v>
      </c>
      <c r="K129" t="s">
        <v>32</v>
      </c>
      <c r="L129" t="s">
        <v>37</v>
      </c>
      <c r="M129">
        <f>YEAR(Table2[[#This Row],[Date of Admission]])</f>
        <v>2021</v>
      </c>
    </row>
    <row r="130" spans="1:13" x14ac:dyDescent="0.2">
      <c r="A130" t="s">
        <v>174</v>
      </c>
      <c r="B130">
        <v>82</v>
      </c>
      <c r="C130" t="s">
        <v>14</v>
      </c>
      <c r="D130" t="s">
        <v>39</v>
      </c>
      <c r="E130" t="s">
        <v>23</v>
      </c>
      <c r="F130" s="1">
        <v>45214</v>
      </c>
      <c r="G130" t="s">
        <v>43</v>
      </c>
      <c r="H130">
        <v>16399.2657610018</v>
      </c>
      <c r="I130" t="s">
        <v>25</v>
      </c>
      <c r="J130" s="1">
        <v>45238</v>
      </c>
      <c r="K130" t="s">
        <v>40</v>
      </c>
      <c r="L130" t="s">
        <v>37</v>
      </c>
      <c r="M130">
        <f>YEAR(Table2[[#This Row],[Date of Admission]])</f>
        <v>2023</v>
      </c>
    </row>
    <row r="131" spans="1:13" x14ac:dyDescent="0.2">
      <c r="A131" t="s">
        <v>175</v>
      </c>
      <c r="B131">
        <v>20</v>
      </c>
      <c r="C131" t="s">
        <v>14</v>
      </c>
      <c r="D131" t="s">
        <v>39</v>
      </c>
      <c r="E131" t="s">
        <v>35</v>
      </c>
      <c r="F131" s="1">
        <v>45368</v>
      </c>
      <c r="G131" t="s">
        <v>17</v>
      </c>
      <c r="H131">
        <v>44939.565524760998</v>
      </c>
      <c r="I131" t="s">
        <v>25</v>
      </c>
      <c r="J131" s="1">
        <v>45379</v>
      </c>
      <c r="K131" t="s">
        <v>26</v>
      </c>
      <c r="L131" t="s">
        <v>27</v>
      </c>
      <c r="M131">
        <f>YEAR(Table2[[#This Row],[Date of Admission]])</f>
        <v>2024</v>
      </c>
    </row>
    <row r="132" spans="1:13" x14ac:dyDescent="0.2">
      <c r="A132" t="s">
        <v>176</v>
      </c>
      <c r="B132">
        <v>20</v>
      </c>
      <c r="C132" t="s">
        <v>14</v>
      </c>
      <c r="D132" t="s">
        <v>63</v>
      </c>
      <c r="E132" t="s">
        <v>52</v>
      </c>
      <c r="F132" s="1">
        <v>43751</v>
      </c>
      <c r="G132" t="s">
        <v>17</v>
      </c>
      <c r="H132">
        <v>10663.9100050385</v>
      </c>
      <c r="I132" t="s">
        <v>25</v>
      </c>
      <c r="J132" s="1">
        <v>43754</v>
      </c>
      <c r="K132" t="s">
        <v>32</v>
      </c>
      <c r="L132" t="s">
        <v>20</v>
      </c>
      <c r="M132">
        <f>YEAR(Table2[[#This Row],[Date of Admission]])</f>
        <v>2019</v>
      </c>
    </row>
    <row r="133" spans="1:13" x14ac:dyDescent="0.2">
      <c r="A133" t="s">
        <v>177</v>
      </c>
      <c r="B133">
        <v>19</v>
      </c>
      <c r="C133" t="s">
        <v>29</v>
      </c>
      <c r="D133" t="s">
        <v>30</v>
      </c>
      <c r="E133" t="s">
        <v>52</v>
      </c>
      <c r="F133" s="1">
        <v>43892</v>
      </c>
      <c r="G133" t="s">
        <v>47</v>
      </c>
      <c r="H133">
        <v>22564.787983517199</v>
      </c>
      <c r="I133" t="s">
        <v>36</v>
      </c>
      <c r="J133" s="1">
        <v>43897</v>
      </c>
      <c r="K133" t="s">
        <v>19</v>
      </c>
      <c r="L133" t="s">
        <v>20</v>
      </c>
      <c r="M133">
        <f>YEAR(Table2[[#This Row],[Date of Admission]])</f>
        <v>2020</v>
      </c>
    </row>
    <row r="134" spans="1:13" x14ac:dyDescent="0.2">
      <c r="A134" t="s">
        <v>178</v>
      </c>
      <c r="B134">
        <v>32</v>
      </c>
      <c r="C134" t="s">
        <v>29</v>
      </c>
      <c r="D134" t="s">
        <v>45</v>
      </c>
      <c r="E134" t="s">
        <v>16</v>
      </c>
      <c r="F134" s="1">
        <v>43774</v>
      </c>
      <c r="G134" t="s">
        <v>31</v>
      </c>
      <c r="H134">
        <v>-502.507812700947</v>
      </c>
      <c r="I134" t="s">
        <v>18</v>
      </c>
      <c r="J134" s="1">
        <v>43792</v>
      </c>
      <c r="K134" t="s">
        <v>40</v>
      </c>
      <c r="L134" t="s">
        <v>20</v>
      </c>
      <c r="M134">
        <f>YEAR(Table2[[#This Row],[Date of Admission]])</f>
        <v>2019</v>
      </c>
    </row>
    <row r="135" spans="1:13" x14ac:dyDescent="0.2">
      <c r="A135" t="s">
        <v>179</v>
      </c>
      <c r="B135">
        <v>55</v>
      </c>
      <c r="C135" t="s">
        <v>14</v>
      </c>
      <c r="D135" t="s">
        <v>15</v>
      </c>
      <c r="E135" t="s">
        <v>35</v>
      </c>
      <c r="F135" s="1">
        <v>44234</v>
      </c>
      <c r="G135" t="s">
        <v>47</v>
      </c>
      <c r="H135">
        <v>34758.256750986002</v>
      </c>
      <c r="I135" t="s">
        <v>25</v>
      </c>
      <c r="J135" s="1">
        <v>44260</v>
      </c>
      <c r="K135" t="s">
        <v>32</v>
      </c>
      <c r="L135" t="s">
        <v>20</v>
      </c>
      <c r="M135">
        <f>YEAR(Table2[[#This Row],[Date of Admission]])</f>
        <v>2021</v>
      </c>
    </row>
    <row r="136" spans="1:13" x14ac:dyDescent="0.2">
      <c r="A136" t="s">
        <v>180</v>
      </c>
      <c r="B136">
        <v>81</v>
      </c>
      <c r="C136" t="s">
        <v>14</v>
      </c>
      <c r="D136" t="s">
        <v>63</v>
      </c>
      <c r="E136" t="s">
        <v>52</v>
      </c>
      <c r="F136" s="1">
        <v>44494</v>
      </c>
      <c r="G136" t="s">
        <v>43</v>
      </c>
      <c r="H136">
        <v>46377.865149231497</v>
      </c>
      <c r="I136" t="s">
        <v>18</v>
      </c>
      <c r="J136" s="1">
        <v>44522</v>
      </c>
      <c r="K136" t="s">
        <v>53</v>
      </c>
      <c r="L136" t="s">
        <v>20</v>
      </c>
      <c r="M136">
        <f>YEAR(Table2[[#This Row],[Date of Admission]])</f>
        <v>2021</v>
      </c>
    </row>
    <row r="137" spans="1:13" x14ac:dyDescent="0.2">
      <c r="A137" t="s">
        <v>181</v>
      </c>
      <c r="B137">
        <v>26</v>
      </c>
      <c r="C137" t="s">
        <v>14</v>
      </c>
      <c r="D137" t="s">
        <v>71</v>
      </c>
      <c r="E137" t="s">
        <v>52</v>
      </c>
      <c r="F137" s="1">
        <v>44766</v>
      </c>
      <c r="G137" t="s">
        <v>17</v>
      </c>
      <c r="H137">
        <v>7555.7729648088398</v>
      </c>
      <c r="I137" t="s">
        <v>36</v>
      </c>
      <c r="J137" s="1">
        <v>44773</v>
      </c>
      <c r="K137" t="s">
        <v>19</v>
      </c>
      <c r="L137" t="s">
        <v>37</v>
      </c>
      <c r="M137">
        <f>YEAR(Table2[[#This Row],[Date of Admission]])</f>
        <v>2022</v>
      </c>
    </row>
    <row r="138" spans="1:13" x14ac:dyDescent="0.2">
      <c r="A138" t="s">
        <v>182</v>
      </c>
      <c r="B138">
        <v>54</v>
      </c>
      <c r="C138" t="s">
        <v>29</v>
      </c>
      <c r="D138" t="s">
        <v>39</v>
      </c>
      <c r="E138" t="s">
        <v>16</v>
      </c>
      <c r="F138" s="1">
        <v>43894</v>
      </c>
      <c r="G138" t="s">
        <v>43</v>
      </c>
      <c r="H138">
        <v>14299.993446906699</v>
      </c>
      <c r="I138" t="s">
        <v>25</v>
      </c>
      <c r="J138" s="1">
        <v>43895</v>
      </c>
      <c r="K138" t="s">
        <v>53</v>
      </c>
      <c r="L138" t="s">
        <v>37</v>
      </c>
      <c r="M138">
        <f>YEAR(Table2[[#This Row],[Date of Admission]])</f>
        <v>2020</v>
      </c>
    </row>
    <row r="139" spans="1:13" x14ac:dyDescent="0.2">
      <c r="A139" t="s">
        <v>183</v>
      </c>
      <c r="B139">
        <v>57</v>
      </c>
      <c r="C139" t="s">
        <v>14</v>
      </c>
      <c r="D139" t="s">
        <v>15</v>
      </c>
      <c r="E139" t="s">
        <v>59</v>
      </c>
      <c r="F139" s="1">
        <v>44409</v>
      </c>
      <c r="G139" t="s">
        <v>47</v>
      </c>
      <c r="H139">
        <v>46429.508203722602</v>
      </c>
      <c r="I139" t="s">
        <v>36</v>
      </c>
      <c r="J139" s="1">
        <v>44427</v>
      </c>
      <c r="K139" t="s">
        <v>19</v>
      </c>
      <c r="L139" t="s">
        <v>27</v>
      </c>
      <c r="M139">
        <f>YEAR(Table2[[#This Row],[Date of Admission]])</f>
        <v>2021</v>
      </c>
    </row>
    <row r="140" spans="1:13" x14ac:dyDescent="0.2">
      <c r="A140" t="s">
        <v>184</v>
      </c>
      <c r="B140">
        <v>38</v>
      </c>
      <c r="C140" t="s">
        <v>29</v>
      </c>
      <c r="D140" t="s">
        <v>39</v>
      </c>
      <c r="E140" t="s">
        <v>42</v>
      </c>
      <c r="F140" s="1">
        <v>43854</v>
      </c>
      <c r="G140" t="s">
        <v>24</v>
      </c>
      <c r="H140">
        <v>17978.950744896101</v>
      </c>
      <c r="I140" t="s">
        <v>36</v>
      </c>
      <c r="J140" s="1">
        <v>43873</v>
      </c>
      <c r="K140" t="s">
        <v>26</v>
      </c>
      <c r="L140" t="s">
        <v>37</v>
      </c>
      <c r="M140">
        <f>YEAR(Table2[[#This Row],[Date of Admission]])</f>
        <v>2020</v>
      </c>
    </row>
    <row r="141" spans="1:13" x14ac:dyDescent="0.2">
      <c r="A141" t="s">
        <v>185</v>
      </c>
      <c r="B141">
        <v>54</v>
      </c>
      <c r="C141" t="s">
        <v>14</v>
      </c>
      <c r="D141" t="s">
        <v>34</v>
      </c>
      <c r="E141" t="s">
        <v>23</v>
      </c>
      <c r="F141" s="1">
        <v>44407</v>
      </c>
      <c r="G141" t="s">
        <v>24</v>
      </c>
      <c r="H141">
        <v>32629.0677482352</v>
      </c>
      <c r="I141" t="s">
        <v>36</v>
      </c>
      <c r="J141" s="1">
        <v>44421</v>
      </c>
      <c r="K141" t="s">
        <v>19</v>
      </c>
      <c r="L141" t="s">
        <v>20</v>
      </c>
      <c r="M141">
        <f>YEAR(Table2[[#This Row],[Date of Admission]])</f>
        <v>2021</v>
      </c>
    </row>
    <row r="142" spans="1:13" x14ac:dyDescent="0.2">
      <c r="A142" t="s">
        <v>186</v>
      </c>
      <c r="B142">
        <v>42</v>
      </c>
      <c r="C142" t="s">
        <v>14</v>
      </c>
      <c r="D142" t="s">
        <v>22</v>
      </c>
      <c r="E142" t="s">
        <v>35</v>
      </c>
      <c r="F142" s="1">
        <v>45295</v>
      </c>
      <c r="G142" t="s">
        <v>24</v>
      </c>
      <c r="H142">
        <v>22356.2264918334</v>
      </c>
      <c r="I142" t="s">
        <v>18</v>
      </c>
      <c r="J142" s="1">
        <v>45325</v>
      </c>
      <c r="K142" t="s">
        <v>32</v>
      </c>
      <c r="L142" t="s">
        <v>27</v>
      </c>
      <c r="M142">
        <f>YEAR(Table2[[#This Row],[Date of Admission]])</f>
        <v>2024</v>
      </c>
    </row>
    <row r="143" spans="1:13" x14ac:dyDescent="0.2">
      <c r="A143" t="s">
        <v>187</v>
      </c>
      <c r="B143">
        <v>20</v>
      </c>
      <c r="C143" t="s">
        <v>14</v>
      </c>
      <c r="D143" t="s">
        <v>71</v>
      </c>
      <c r="E143" t="s">
        <v>35</v>
      </c>
      <c r="F143" s="1">
        <v>45296</v>
      </c>
      <c r="G143" t="s">
        <v>24</v>
      </c>
      <c r="H143">
        <v>48995.980591657099</v>
      </c>
      <c r="I143" t="s">
        <v>36</v>
      </c>
      <c r="J143" s="1">
        <v>45326</v>
      </c>
      <c r="K143" t="s">
        <v>53</v>
      </c>
      <c r="L143" t="s">
        <v>20</v>
      </c>
      <c r="M143">
        <f>YEAR(Table2[[#This Row],[Date of Admission]])</f>
        <v>2024</v>
      </c>
    </row>
    <row r="144" spans="1:13" x14ac:dyDescent="0.2">
      <c r="A144" t="s">
        <v>188</v>
      </c>
      <c r="B144">
        <v>44</v>
      </c>
      <c r="C144" t="s">
        <v>29</v>
      </c>
      <c r="D144" t="s">
        <v>71</v>
      </c>
      <c r="E144" t="s">
        <v>52</v>
      </c>
      <c r="F144" s="1">
        <v>44054</v>
      </c>
      <c r="G144" t="s">
        <v>43</v>
      </c>
      <c r="H144">
        <v>4532.4835536168703</v>
      </c>
      <c r="I144" t="s">
        <v>25</v>
      </c>
      <c r="J144" s="1">
        <v>44078</v>
      </c>
      <c r="K144" t="s">
        <v>53</v>
      </c>
      <c r="L144" t="s">
        <v>27</v>
      </c>
      <c r="M144">
        <f>YEAR(Table2[[#This Row],[Date of Admission]])</f>
        <v>2020</v>
      </c>
    </row>
    <row r="145" spans="1:13" x14ac:dyDescent="0.2">
      <c r="A145" t="s">
        <v>189</v>
      </c>
      <c r="B145">
        <v>54</v>
      </c>
      <c r="C145" t="s">
        <v>14</v>
      </c>
      <c r="D145" t="s">
        <v>63</v>
      </c>
      <c r="E145" t="s">
        <v>35</v>
      </c>
      <c r="F145" s="1">
        <v>44729</v>
      </c>
      <c r="G145" t="s">
        <v>24</v>
      </c>
      <c r="H145">
        <v>35521.582148277499</v>
      </c>
      <c r="I145" t="s">
        <v>36</v>
      </c>
      <c r="J145" s="1">
        <v>44736</v>
      </c>
      <c r="K145" t="s">
        <v>19</v>
      </c>
      <c r="L145" t="s">
        <v>20</v>
      </c>
      <c r="M145">
        <f>YEAR(Table2[[#This Row],[Date of Admission]])</f>
        <v>2022</v>
      </c>
    </row>
    <row r="146" spans="1:13" x14ac:dyDescent="0.2">
      <c r="A146" t="s">
        <v>190</v>
      </c>
      <c r="B146">
        <v>21</v>
      </c>
      <c r="C146" t="s">
        <v>29</v>
      </c>
      <c r="D146" t="s">
        <v>45</v>
      </c>
      <c r="E146" t="s">
        <v>59</v>
      </c>
      <c r="F146" s="1">
        <v>44653</v>
      </c>
      <c r="G146" t="s">
        <v>31</v>
      </c>
      <c r="H146">
        <v>1589.5035231858601</v>
      </c>
      <c r="I146" t="s">
        <v>25</v>
      </c>
      <c r="J146" s="1">
        <v>44660</v>
      </c>
      <c r="K146" t="s">
        <v>32</v>
      </c>
      <c r="L146" t="s">
        <v>27</v>
      </c>
      <c r="M146">
        <f>YEAR(Table2[[#This Row],[Date of Admission]])</f>
        <v>2022</v>
      </c>
    </row>
    <row r="147" spans="1:13" x14ac:dyDescent="0.2">
      <c r="A147" t="s">
        <v>191</v>
      </c>
      <c r="B147">
        <v>45</v>
      </c>
      <c r="C147" t="s">
        <v>29</v>
      </c>
      <c r="D147" t="s">
        <v>39</v>
      </c>
      <c r="E147" t="s">
        <v>35</v>
      </c>
      <c r="F147" s="1">
        <v>43985</v>
      </c>
      <c r="G147" t="s">
        <v>24</v>
      </c>
      <c r="H147">
        <v>22950.651139182501</v>
      </c>
      <c r="I147" t="s">
        <v>36</v>
      </c>
      <c r="J147" s="1">
        <v>44004</v>
      </c>
      <c r="K147" t="s">
        <v>26</v>
      </c>
      <c r="L147" t="s">
        <v>37</v>
      </c>
      <c r="M147">
        <f>YEAR(Table2[[#This Row],[Date of Admission]])</f>
        <v>2020</v>
      </c>
    </row>
    <row r="148" spans="1:13" x14ac:dyDescent="0.2">
      <c r="A148" t="s">
        <v>192</v>
      </c>
      <c r="B148">
        <v>68</v>
      </c>
      <c r="C148" t="s">
        <v>29</v>
      </c>
      <c r="D148" t="s">
        <v>63</v>
      </c>
      <c r="E148" t="s">
        <v>59</v>
      </c>
      <c r="F148" s="1">
        <v>43693</v>
      </c>
      <c r="G148" t="s">
        <v>31</v>
      </c>
      <c r="H148">
        <v>2678.9539360591002</v>
      </c>
      <c r="I148" t="s">
        <v>18</v>
      </c>
      <c r="J148" s="1">
        <v>43698</v>
      </c>
      <c r="K148" t="s">
        <v>19</v>
      </c>
      <c r="L148" t="s">
        <v>37</v>
      </c>
      <c r="M148">
        <f>YEAR(Table2[[#This Row],[Date of Admission]])</f>
        <v>2019</v>
      </c>
    </row>
    <row r="149" spans="1:13" x14ac:dyDescent="0.2">
      <c r="A149" t="s">
        <v>193</v>
      </c>
      <c r="B149">
        <v>27</v>
      </c>
      <c r="C149" t="s">
        <v>14</v>
      </c>
      <c r="D149" t="s">
        <v>22</v>
      </c>
      <c r="E149" t="s">
        <v>52</v>
      </c>
      <c r="F149" s="1">
        <v>45344</v>
      </c>
      <c r="G149" t="s">
        <v>43</v>
      </c>
      <c r="H149">
        <v>39615.600655704598</v>
      </c>
      <c r="I149" t="s">
        <v>18</v>
      </c>
      <c r="J149" s="1">
        <v>45346</v>
      </c>
      <c r="K149" t="s">
        <v>40</v>
      </c>
      <c r="L149" t="s">
        <v>27</v>
      </c>
      <c r="M149">
        <f>YEAR(Table2[[#This Row],[Date of Admission]])</f>
        <v>2024</v>
      </c>
    </row>
    <row r="150" spans="1:13" x14ac:dyDescent="0.2">
      <c r="A150" t="s">
        <v>194</v>
      </c>
      <c r="B150">
        <v>42</v>
      </c>
      <c r="C150" t="s">
        <v>14</v>
      </c>
      <c r="D150" t="s">
        <v>45</v>
      </c>
      <c r="E150" t="s">
        <v>42</v>
      </c>
      <c r="F150" s="1">
        <v>44322</v>
      </c>
      <c r="G150" t="s">
        <v>24</v>
      </c>
      <c r="H150">
        <v>13355.7820854809</v>
      </c>
      <c r="I150" t="s">
        <v>36</v>
      </c>
      <c r="J150" s="1">
        <v>44345</v>
      </c>
      <c r="K150" t="s">
        <v>26</v>
      </c>
      <c r="L150" t="s">
        <v>27</v>
      </c>
      <c r="M150">
        <f>YEAR(Table2[[#This Row],[Date of Admission]])</f>
        <v>2021</v>
      </c>
    </row>
    <row r="151" spans="1:13" x14ac:dyDescent="0.2">
      <c r="A151" t="s">
        <v>195</v>
      </c>
      <c r="B151">
        <v>27</v>
      </c>
      <c r="C151" t="s">
        <v>29</v>
      </c>
      <c r="D151" t="s">
        <v>15</v>
      </c>
      <c r="E151" t="s">
        <v>42</v>
      </c>
      <c r="F151" s="1">
        <v>44496</v>
      </c>
      <c r="G151" t="s">
        <v>31</v>
      </c>
      <c r="H151">
        <v>32561.5304064226</v>
      </c>
      <c r="I151" t="s">
        <v>36</v>
      </c>
      <c r="J151" s="1">
        <v>44504</v>
      </c>
      <c r="K151" t="s">
        <v>26</v>
      </c>
      <c r="L151" t="s">
        <v>27</v>
      </c>
      <c r="M151">
        <f>YEAR(Table2[[#This Row],[Date of Admission]])</f>
        <v>2021</v>
      </c>
    </row>
    <row r="152" spans="1:13" x14ac:dyDescent="0.2">
      <c r="A152" t="s">
        <v>196</v>
      </c>
      <c r="B152">
        <v>80</v>
      </c>
      <c r="C152" t="s">
        <v>14</v>
      </c>
      <c r="D152" t="s">
        <v>63</v>
      </c>
      <c r="E152" t="s">
        <v>42</v>
      </c>
      <c r="F152" s="1">
        <v>44075</v>
      </c>
      <c r="G152" t="s">
        <v>24</v>
      </c>
      <c r="H152">
        <v>29221.340207679099</v>
      </c>
      <c r="I152" t="s">
        <v>25</v>
      </c>
      <c r="J152" s="1">
        <v>44091</v>
      </c>
      <c r="K152" t="s">
        <v>19</v>
      </c>
      <c r="L152" t="s">
        <v>27</v>
      </c>
      <c r="M152">
        <f>YEAR(Table2[[#This Row],[Date of Admission]])</f>
        <v>2020</v>
      </c>
    </row>
    <row r="153" spans="1:13" x14ac:dyDescent="0.2">
      <c r="A153" t="s">
        <v>197</v>
      </c>
      <c r="B153">
        <v>21</v>
      </c>
      <c r="C153" t="s">
        <v>14</v>
      </c>
      <c r="D153" t="s">
        <v>34</v>
      </c>
      <c r="E153" t="s">
        <v>35</v>
      </c>
      <c r="F153" s="1">
        <v>44342</v>
      </c>
      <c r="G153" t="s">
        <v>24</v>
      </c>
      <c r="H153">
        <v>12880.6524127714</v>
      </c>
      <c r="I153" t="s">
        <v>18</v>
      </c>
      <c r="J153" s="1">
        <v>44369</v>
      </c>
      <c r="K153" t="s">
        <v>40</v>
      </c>
      <c r="L153" t="s">
        <v>20</v>
      </c>
      <c r="M153">
        <f>YEAR(Table2[[#This Row],[Date of Admission]])</f>
        <v>2021</v>
      </c>
    </row>
    <row r="154" spans="1:13" x14ac:dyDescent="0.2">
      <c r="A154" t="s">
        <v>198</v>
      </c>
      <c r="B154">
        <v>84</v>
      </c>
      <c r="C154" t="s">
        <v>29</v>
      </c>
      <c r="D154" t="s">
        <v>30</v>
      </c>
      <c r="E154" t="s">
        <v>23</v>
      </c>
      <c r="F154" s="1">
        <v>44734</v>
      </c>
      <c r="G154" t="s">
        <v>31</v>
      </c>
      <c r="H154">
        <v>15475.403236542499</v>
      </c>
      <c r="I154" t="s">
        <v>36</v>
      </c>
      <c r="J154" s="1">
        <v>44764</v>
      </c>
      <c r="K154" t="s">
        <v>26</v>
      </c>
      <c r="L154" t="s">
        <v>37</v>
      </c>
      <c r="M154">
        <f>YEAR(Table2[[#This Row],[Date of Admission]])</f>
        <v>2022</v>
      </c>
    </row>
    <row r="155" spans="1:13" x14ac:dyDescent="0.2">
      <c r="A155" t="s">
        <v>199</v>
      </c>
      <c r="B155">
        <v>67</v>
      </c>
      <c r="C155" t="s">
        <v>29</v>
      </c>
      <c r="D155" t="s">
        <v>71</v>
      </c>
      <c r="E155" t="s">
        <v>59</v>
      </c>
      <c r="F155" s="1">
        <v>45063</v>
      </c>
      <c r="G155" t="s">
        <v>24</v>
      </c>
      <c r="H155">
        <v>27309.436760697201</v>
      </c>
      <c r="I155" t="s">
        <v>36</v>
      </c>
      <c r="J155" s="1">
        <v>45077</v>
      </c>
      <c r="K155" t="s">
        <v>32</v>
      </c>
      <c r="L155" t="s">
        <v>37</v>
      </c>
      <c r="M155">
        <f>YEAR(Table2[[#This Row],[Date of Admission]])</f>
        <v>2023</v>
      </c>
    </row>
    <row r="156" spans="1:13" x14ac:dyDescent="0.2">
      <c r="A156" t="s">
        <v>200</v>
      </c>
      <c r="B156">
        <v>66</v>
      </c>
      <c r="C156" t="s">
        <v>14</v>
      </c>
      <c r="D156" t="s">
        <v>39</v>
      </c>
      <c r="E156" t="s">
        <v>59</v>
      </c>
      <c r="F156" s="1">
        <v>44370</v>
      </c>
      <c r="G156" t="s">
        <v>24</v>
      </c>
      <c r="H156">
        <v>1897.8917271476701</v>
      </c>
      <c r="I156" t="s">
        <v>36</v>
      </c>
      <c r="J156" s="1">
        <v>44386</v>
      </c>
      <c r="K156" t="s">
        <v>26</v>
      </c>
      <c r="L156" t="s">
        <v>37</v>
      </c>
      <c r="M156">
        <f>YEAR(Table2[[#This Row],[Date of Admission]])</f>
        <v>2021</v>
      </c>
    </row>
    <row r="157" spans="1:13" x14ac:dyDescent="0.2">
      <c r="A157" t="s">
        <v>201</v>
      </c>
      <c r="B157">
        <v>37</v>
      </c>
      <c r="C157" t="s">
        <v>29</v>
      </c>
      <c r="D157" t="s">
        <v>30</v>
      </c>
      <c r="E157" t="s">
        <v>16</v>
      </c>
      <c r="F157" s="1">
        <v>45247</v>
      </c>
      <c r="G157" t="s">
        <v>31</v>
      </c>
      <c r="H157">
        <v>31308.206008495101</v>
      </c>
      <c r="I157" t="s">
        <v>18</v>
      </c>
      <c r="J157" s="1">
        <v>45255</v>
      </c>
      <c r="K157" t="s">
        <v>40</v>
      </c>
      <c r="L157" t="s">
        <v>20</v>
      </c>
      <c r="M157">
        <f>YEAR(Table2[[#This Row],[Date of Admission]])</f>
        <v>2023</v>
      </c>
    </row>
    <row r="158" spans="1:13" x14ac:dyDescent="0.2">
      <c r="A158" t="s">
        <v>202</v>
      </c>
      <c r="B158">
        <v>30</v>
      </c>
      <c r="C158" t="s">
        <v>29</v>
      </c>
      <c r="D158" t="s">
        <v>30</v>
      </c>
      <c r="E158" t="s">
        <v>35</v>
      </c>
      <c r="F158" s="1">
        <v>44115</v>
      </c>
      <c r="G158" t="s">
        <v>24</v>
      </c>
      <c r="H158">
        <v>42792.2412821748</v>
      </c>
      <c r="I158" t="s">
        <v>36</v>
      </c>
      <c r="J158" s="1">
        <v>44125</v>
      </c>
      <c r="K158" t="s">
        <v>26</v>
      </c>
      <c r="L158" t="s">
        <v>37</v>
      </c>
      <c r="M158">
        <f>YEAR(Table2[[#This Row],[Date of Admission]])</f>
        <v>2020</v>
      </c>
    </row>
    <row r="159" spans="1:13" x14ac:dyDescent="0.2">
      <c r="A159" t="s">
        <v>203</v>
      </c>
      <c r="B159">
        <v>78</v>
      </c>
      <c r="C159" t="s">
        <v>14</v>
      </c>
      <c r="D159" t="s">
        <v>34</v>
      </c>
      <c r="E159" t="s">
        <v>35</v>
      </c>
      <c r="F159" s="1">
        <v>44418</v>
      </c>
      <c r="G159" t="s">
        <v>47</v>
      </c>
      <c r="H159">
        <v>14377.334318494601</v>
      </c>
      <c r="I159" t="s">
        <v>25</v>
      </c>
      <c r="J159" s="1">
        <v>44435</v>
      </c>
      <c r="K159" t="s">
        <v>40</v>
      </c>
      <c r="L159" t="s">
        <v>37</v>
      </c>
      <c r="M159">
        <f>YEAR(Table2[[#This Row],[Date of Admission]])</f>
        <v>2021</v>
      </c>
    </row>
    <row r="160" spans="1:13" x14ac:dyDescent="0.2">
      <c r="A160" t="s">
        <v>204</v>
      </c>
      <c r="B160">
        <v>39</v>
      </c>
      <c r="C160" t="s">
        <v>29</v>
      </c>
      <c r="D160" t="s">
        <v>22</v>
      </c>
      <c r="E160" t="s">
        <v>35</v>
      </c>
      <c r="F160" s="1">
        <v>45167</v>
      </c>
      <c r="G160" t="s">
        <v>43</v>
      </c>
      <c r="H160">
        <v>1150.8749860875801</v>
      </c>
      <c r="I160" t="s">
        <v>18</v>
      </c>
      <c r="J160" s="1">
        <v>45176</v>
      </c>
      <c r="K160" t="s">
        <v>40</v>
      </c>
      <c r="L160" t="s">
        <v>37</v>
      </c>
      <c r="M160">
        <f>YEAR(Table2[[#This Row],[Date of Admission]])</f>
        <v>2023</v>
      </c>
    </row>
    <row r="161" spans="1:13" x14ac:dyDescent="0.2">
      <c r="A161" t="s">
        <v>205</v>
      </c>
      <c r="B161">
        <v>29</v>
      </c>
      <c r="C161" t="s">
        <v>14</v>
      </c>
      <c r="D161" t="s">
        <v>71</v>
      </c>
      <c r="E161" t="s">
        <v>42</v>
      </c>
      <c r="F161" s="1">
        <v>43888</v>
      </c>
      <c r="G161" t="s">
        <v>24</v>
      </c>
      <c r="H161">
        <v>41939.119936696297</v>
      </c>
      <c r="I161" t="s">
        <v>36</v>
      </c>
      <c r="J161" s="1">
        <v>43916</v>
      </c>
      <c r="K161" t="s">
        <v>26</v>
      </c>
      <c r="L161" t="s">
        <v>20</v>
      </c>
      <c r="M161">
        <f>YEAR(Table2[[#This Row],[Date of Admission]])</f>
        <v>2020</v>
      </c>
    </row>
    <row r="162" spans="1:13" x14ac:dyDescent="0.2">
      <c r="A162" t="s">
        <v>206</v>
      </c>
      <c r="B162">
        <v>81</v>
      </c>
      <c r="C162" t="s">
        <v>29</v>
      </c>
      <c r="D162" t="s">
        <v>45</v>
      </c>
      <c r="E162" t="s">
        <v>16</v>
      </c>
      <c r="F162" s="1">
        <v>44384</v>
      </c>
      <c r="G162" t="s">
        <v>43</v>
      </c>
      <c r="H162">
        <v>41982.374396232502</v>
      </c>
      <c r="I162" t="s">
        <v>36</v>
      </c>
      <c r="J162" s="1">
        <v>44392</v>
      </c>
      <c r="K162" t="s">
        <v>32</v>
      </c>
      <c r="L162" t="s">
        <v>37</v>
      </c>
      <c r="M162">
        <f>YEAR(Table2[[#This Row],[Date of Admission]])</f>
        <v>2021</v>
      </c>
    </row>
    <row r="163" spans="1:13" x14ac:dyDescent="0.2">
      <c r="A163" t="s">
        <v>207</v>
      </c>
      <c r="B163">
        <v>66</v>
      </c>
      <c r="C163" t="s">
        <v>29</v>
      </c>
      <c r="D163" t="s">
        <v>45</v>
      </c>
      <c r="E163" t="s">
        <v>23</v>
      </c>
      <c r="F163" s="1">
        <v>44715</v>
      </c>
      <c r="G163" t="s">
        <v>47</v>
      </c>
      <c r="H163">
        <v>33861.018631744599</v>
      </c>
      <c r="I163" t="s">
        <v>36</v>
      </c>
      <c r="J163" s="1">
        <v>44739</v>
      </c>
      <c r="K163" t="s">
        <v>32</v>
      </c>
      <c r="L163" t="s">
        <v>20</v>
      </c>
      <c r="M163">
        <f>YEAR(Table2[[#This Row],[Date of Admission]])</f>
        <v>2022</v>
      </c>
    </row>
    <row r="164" spans="1:13" x14ac:dyDescent="0.2">
      <c r="A164" t="s">
        <v>208</v>
      </c>
      <c r="B164">
        <v>65</v>
      </c>
      <c r="C164" t="s">
        <v>14</v>
      </c>
      <c r="D164" t="s">
        <v>15</v>
      </c>
      <c r="E164" t="s">
        <v>42</v>
      </c>
      <c r="F164" s="1">
        <v>43881</v>
      </c>
      <c r="G164" t="s">
        <v>31</v>
      </c>
      <c r="H164">
        <v>49321.157631491697</v>
      </c>
      <c r="I164" t="s">
        <v>25</v>
      </c>
      <c r="J164" s="1">
        <v>43891</v>
      </c>
      <c r="K164" t="s">
        <v>40</v>
      </c>
      <c r="L164" t="s">
        <v>37</v>
      </c>
      <c r="M164">
        <f>YEAR(Table2[[#This Row],[Date of Admission]])</f>
        <v>2020</v>
      </c>
    </row>
    <row r="165" spans="1:13" x14ac:dyDescent="0.2">
      <c r="A165" t="s">
        <v>209</v>
      </c>
      <c r="B165">
        <v>80</v>
      </c>
      <c r="C165" t="s">
        <v>14</v>
      </c>
      <c r="D165" t="s">
        <v>45</v>
      </c>
      <c r="E165" t="s">
        <v>42</v>
      </c>
      <c r="F165" s="1">
        <v>44232</v>
      </c>
      <c r="G165" t="s">
        <v>47</v>
      </c>
      <c r="H165">
        <v>47433.278654711103</v>
      </c>
      <c r="I165" t="s">
        <v>36</v>
      </c>
      <c r="J165" s="1">
        <v>44260</v>
      </c>
      <c r="K165" t="s">
        <v>40</v>
      </c>
      <c r="L165" t="s">
        <v>27</v>
      </c>
      <c r="M165">
        <f>YEAR(Table2[[#This Row],[Date of Admission]])</f>
        <v>2021</v>
      </c>
    </row>
    <row r="166" spans="1:13" x14ac:dyDescent="0.2">
      <c r="A166" t="s">
        <v>210</v>
      </c>
      <c r="B166">
        <v>72</v>
      </c>
      <c r="C166" t="s">
        <v>29</v>
      </c>
      <c r="D166" t="s">
        <v>71</v>
      </c>
      <c r="E166" t="s">
        <v>59</v>
      </c>
      <c r="F166" s="1">
        <v>44128</v>
      </c>
      <c r="G166" t="s">
        <v>24</v>
      </c>
      <c r="H166">
        <v>19065.060885516901</v>
      </c>
      <c r="I166" t="s">
        <v>25</v>
      </c>
      <c r="J166" s="1">
        <v>44137</v>
      </c>
      <c r="K166" t="s">
        <v>19</v>
      </c>
      <c r="L166" t="s">
        <v>37</v>
      </c>
      <c r="M166">
        <f>YEAR(Table2[[#This Row],[Date of Admission]])</f>
        <v>2020</v>
      </c>
    </row>
    <row r="167" spans="1:13" x14ac:dyDescent="0.2">
      <c r="A167" t="s">
        <v>211</v>
      </c>
      <c r="B167">
        <v>85</v>
      </c>
      <c r="C167" t="s">
        <v>14</v>
      </c>
      <c r="D167" t="s">
        <v>71</v>
      </c>
      <c r="E167" t="s">
        <v>16</v>
      </c>
      <c r="F167" s="1">
        <v>45266</v>
      </c>
      <c r="G167" t="s">
        <v>47</v>
      </c>
      <c r="H167">
        <v>50142.026947853003</v>
      </c>
      <c r="I167" t="s">
        <v>36</v>
      </c>
      <c r="J167" s="1">
        <v>45279</v>
      </c>
      <c r="K167" t="s">
        <v>26</v>
      </c>
      <c r="L167" t="s">
        <v>37</v>
      </c>
      <c r="M167">
        <f>YEAR(Table2[[#This Row],[Date of Admission]])</f>
        <v>2023</v>
      </c>
    </row>
    <row r="168" spans="1:13" x14ac:dyDescent="0.2">
      <c r="A168" t="s">
        <v>212</v>
      </c>
      <c r="B168">
        <v>68</v>
      </c>
      <c r="C168" t="s">
        <v>29</v>
      </c>
      <c r="D168" t="s">
        <v>34</v>
      </c>
      <c r="E168" t="s">
        <v>52</v>
      </c>
      <c r="F168" s="1">
        <v>44551</v>
      </c>
      <c r="G168" t="s">
        <v>31</v>
      </c>
      <c r="H168">
        <v>12081.6790346649</v>
      </c>
      <c r="I168" t="s">
        <v>18</v>
      </c>
      <c r="J168" s="1">
        <v>44560</v>
      </c>
      <c r="K168" t="s">
        <v>53</v>
      </c>
      <c r="L168" t="s">
        <v>37</v>
      </c>
      <c r="M168">
        <f>YEAR(Table2[[#This Row],[Date of Admission]])</f>
        <v>2021</v>
      </c>
    </row>
    <row r="169" spans="1:13" x14ac:dyDescent="0.2">
      <c r="A169" t="s">
        <v>213</v>
      </c>
      <c r="B169">
        <v>56</v>
      </c>
      <c r="C169" t="s">
        <v>29</v>
      </c>
      <c r="D169" t="s">
        <v>30</v>
      </c>
      <c r="E169" t="s">
        <v>16</v>
      </c>
      <c r="F169" s="1">
        <v>45172</v>
      </c>
      <c r="G169" t="s">
        <v>31</v>
      </c>
      <c r="H169">
        <v>18030.790780235599</v>
      </c>
      <c r="I169" t="s">
        <v>36</v>
      </c>
      <c r="J169" s="1">
        <v>45199</v>
      </c>
      <c r="K169" t="s">
        <v>53</v>
      </c>
      <c r="L169" t="s">
        <v>27</v>
      </c>
      <c r="M169">
        <f>YEAR(Table2[[#This Row],[Date of Admission]])</f>
        <v>2023</v>
      </c>
    </row>
    <row r="170" spans="1:13" x14ac:dyDescent="0.2">
      <c r="A170" t="s">
        <v>214</v>
      </c>
      <c r="B170">
        <v>53</v>
      </c>
      <c r="C170" t="s">
        <v>29</v>
      </c>
      <c r="D170" t="s">
        <v>71</v>
      </c>
      <c r="E170" t="s">
        <v>42</v>
      </c>
      <c r="F170" s="1">
        <v>44122</v>
      </c>
      <c r="G170" t="s">
        <v>24</v>
      </c>
      <c r="H170">
        <v>5142.1637634746803</v>
      </c>
      <c r="I170" t="s">
        <v>36</v>
      </c>
      <c r="J170" s="1">
        <v>44145</v>
      </c>
      <c r="K170" t="s">
        <v>19</v>
      </c>
      <c r="L170" t="s">
        <v>37</v>
      </c>
      <c r="M170">
        <f>YEAR(Table2[[#This Row],[Date of Admission]])</f>
        <v>2020</v>
      </c>
    </row>
    <row r="171" spans="1:13" x14ac:dyDescent="0.2">
      <c r="A171" t="s">
        <v>215</v>
      </c>
      <c r="B171">
        <v>37</v>
      </c>
      <c r="C171" t="s">
        <v>29</v>
      </c>
      <c r="D171" t="s">
        <v>63</v>
      </c>
      <c r="E171" t="s">
        <v>42</v>
      </c>
      <c r="F171" s="1">
        <v>44384</v>
      </c>
      <c r="G171" t="s">
        <v>43</v>
      </c>
      <c r="H171">
        <v>19851.242925188399</v>
      </c>
      <c r="I171" t="s">
        <v>36</v>
      </c>
      <c r="J171" s="1">
        <v>44401</v>
      </c>
      <c r="K171" t="s">
        <v>40</v>
      </c>
      <c r="L171" t="s">
        <v>20</v>
      </c>
      <c r="M171">
        <f>YEAR(Table2[[#This Row],[Date of Admission]])</f>
        <v>2021</v>
      </c>
    </row>
    <row r="172" spans="1:13" x14ac:dyDescent="0.2">
      <c r="A172" t="s">
        <v>216</v>
      </c>
      <c r="B172">
        <v>57</v>
      </c>
      <c r="C172" t="s">
        <v>29</v>
      </c>
      <c r="D172" t="s">
        <v>34</v>
      </c>
      <c r="E172" t="s">
        <v>52</v>
      </c>
      <c r="F172" s="1">
        <v>45166</v>
      </c>
      <c r="G172" t="s">
        <v>47</v>
      </c>
      <c r="H172">
        <v>20545.8717628298</v>
      </c>
      <c r="I172" t="s">
        <v>18</v>
      </c>
      <c r="J172" s="1">
        <v>45185</v>
      </c>
      <c r="K172" t="s">
        <v>40</v>
      </c>
      <c r="L172" t="s">
        <v>37</v>
      </c>
      <c r="M172">
        <f>YEAR(Table2[[#This Row],[Date of Admission]])</f>
        <v>2023</v>
      </c>
    </row>
    <row r="173" spans="1:13" x14ac:dyDescent="0.2">
      <c r="A173" t="s">
        <v>217</v>
      </c>
      <c r="B173">
        <v>36</v>
      </c>
      <c r="C173" t="s">
        <v>14</v>
      </c>
      <c r="D173" t="s">
        <v>34</v>
      </c>
      <c r="E173" t="s">
        <v>59</v>
      </c>
      <c r="F173" s="1">
        <v>43786</v>
      </c>
      <c r="G173" t="s">
        <v>47</v>
      </c>
      <c r="H173">
        <v>36869.725739039801</v>
      </c>
      <c r="I173" t="s">
        <v>18</v>
      </c>
      <c r="J173" s="1">
        <v>43800</v>
      </c>
      <c r="K173" t="s">
        <v>40</v>
      </c>
      <c r="L173" t="s">
        <v>20</v>
      </c>
      <c r="M173">
        <f>YEAR(Table2[[#This Row],[Date of Admission]])</f>
        <v>2019</v>
      </c>
    </row>
    <row r="174" spans="1:13" x14ac:dyDescent="0.2">
      <c r="A174" t="s">
        <v>218</v>
      </c>
      <c r="B174">
        <v>20</v>
      </c>
      <c r="C174" t="s">
        <v>29</v>
      </c>
      <c r="D174" t="s">
        <v>63</v>
      </c>
      <c r="E174" t="s">
        <v>16</v>
      </c>
      <c r="F174" s="1">
        <v>44157</v>
      </c>
      <c r="G174" t="s">
        <v>47</v>
      </c>
      <c r="H174">
        <v>40598.422570878603</v>
      </c>
      <c r="I174" t="s">
        <v>36</v>
      </c>
      <c r="J174" s="1">
        <v>44182</v>
      </c>
      <c r="K174" t="s">
        <v>19</v>
      </c>
      <c r="L174" t="s">
        <v>20</v>
      </c>
      <c r="M174">
        <f>YEAR(Table2[[#This Row],[Date of Admission]])</f>
        <v>2020</v>
      </c>
    </row>
    <row r="175" spans="1:13" x14ac:dyDescent="0.2">
      <c r="A175" t="s">
        <v>219</v>
      </c>
      <c r="B175">
        <v>83</v>
      </c>
      <c r="C175" t="s">
        <v>14</v>
      </c>
      <c r="D175" t="s">
        <v>71</v>
      </c>
      <c r="E175" t="s">
        <v>42</v>
      </c>
      <c r="F175" s="1">
        <v>44513</v>
      </c>
      <c r="G175" t="s">
        <v>31</v>
      </c>
      <c r="H175">
        <v>18198.058517853799</v>
      </c>
      <c r="I175" t="s">
        <v>18</v>
      </c>
      <c r="J175" s="1">
        <v>44538</v>
      </c>
      <c r="K175" t="s">
        <v>26</v>
      </c>
      <c r="L175" t="s">
        <v>20</v>
      </c>
      <c r="M175">
        <f>YEAR(Table2[[#This Row],[Date of Admission]])</f>
        <v>2021</v>
      </c>
    </row>
    <row r="176" spans="1:13" x14ac:dyDescent="0.2">
      <c r="A176" t="s">
        <v>220</v>
      </c>
      <c r="B176">
        <v>79</v>
      </c>
      <c r="C176" t="s">
        <v>14</v>
      </c>
      <c r="D176" t="s">
        <v>63</v>
      </c>
      <c r="E176" t="s">
        <v>23</v>
      </c>
      <c r="F176" s="1">
        <v>44605</v>
      </c>
      <c r="G176" t="s">
        <v>17</v>
      </c>
      <c r="H176">
        <v>4920.0411890886999</v>
      </c>
      <c r="I176" t="s">
        <v>36</v>
      </c>
      <c r="J176" s="1">
        <v>44612</v>
      </c>
      <c r="K176" t="s">
        <v>19</v>
      </c>
      <c r="L176" t="s">
        <v>20</v>
      </c>
      <c r="M176">
        <f>YEAR(Table2[[#This Row],[Date of Admission]])</f>
        <v>2022</v>
      </c>
    </row>
    <row r="177" spans="1:13" x14ac:dyDescent="0.2">
      <c r="A177" t="s">
        <v>221</v>
      </c>
      <c r="B177">
        <v>62</v>
      </c>
      <c r="C177" t="s">
        <v>14</v>
      </c>
      <c r="D177" t="s">
        <v>34</v>
      </c>
      <c r="E177" t="s">
        <v>35</v>
      </c>
      <c r="F177" s="1">
        <v>43601</v>
      </c>
      <c r="G177" t="s">
        <v>43</v>
      </c>
      <c r="H177">
        <v>3864.1394988716302</v>
      </c>
      <c r="I177" t="s">
        <v>18</v>
      </c>
      <c r="J177" s="1">
        <v>43616</v>
      </c>
      <c r="K177" t="s">
        <v>32</v>
      </c>
      <c r="L177" t="s">
        <v>27</v>
      </c>
      <c r="M177">
        <f>YEAR(Table2[[#This Row],[Date of Admission]])</f>
        <v>2019</v>
      </c>
    </row>
    <row r="178" spans="1:13" x14ac:dyDescent="0.2">
      <c r="A178" t="s">
        <v>222</v>
      </c>
      <c r="B178">
        <v>38</v>
      </c>
      <c r="C178" t="s">
        <v>14</v>
      </c>
      <c r="D178" t="s">
        <v>39</v>
      </c>
      <c r="E178" t="s">
        <v>42</v>
      </c>
      <c r="F178" s="1">
        <v>44412</v>
      </c>
      <c r="G178" t="s">
        <v>17</v>
      </c>
      <c r="H178">
        <v>21562.8610510203</v>
      </c>
      <c r="I178" t="s">
        <v>18</v>
      </c>
      <c r="J178" s="1">
        <v>44434</v>
      </c>
      <c r="K178" t="s">
        <v>19</v>
      </c>
      <c r="L178" t="s">
        <v>20</v>
      </c>
      <c r="M178">
        <f>YEAR(Table2[[#This Row],[Date of Admission]])</f>
        <v>2021</v>
      </c>
    </row>
    <row r="179" spans="1:13" x14ac:dyDescent="0.2">
      <c r="A179" t="s">
        <v>223</v>
      </c>
      <c r="B179">
        <v>75</v>
      </c>
      <c r="C179" t="s">
        <v>29</v>
      </c>
      <c r="D179" t="s">
        <v>15</v>
      </c>
      <c r="E179" t="s">
        <v>16</v>
      </c>
      <c r="F179" s="1">
        <v>43833</v>
      </c>
      <c r="G179" t="s">
        <v>24</v>
      </c>
      <c r="H179">
        <v>11815.202741487599</v>
      </c>
      <c r="I179" t="s">
        <v>36</v>
      </c>
      <c r="J179" s="1">
        <v>43857</v>
      </c>
      <c r="K179" t="s">
        <v>26</v>
      </c>
      <c r="L179" t="s">
        <v>37</v>
      </c>
      <c r="M179">
        <f>YEAR(Table2[[#This Row],[Date of Admission]])</f>
        <v>2020</v>
      </c>
    </row>
    <row r="180" spans="1:13" x14ac:dyDescent="0.2">
      <c r="A180" t="s">
        <v>225</v>
      </c>
      <c r="B180">
        <v>28</v>
      </c>
      <c r="C180" t="s">
        <v>14</v>
      </c>
      <c r="D180" t="s">
        <v>22</v>
      </c>
      <c r="E180" t="s">
        <v>52</v>
      </c>
      <c r="F180" s="1">
        <v>44817</v>
      </c>
      <c r="G180" t="s">
        <v>47</v>
      </c>
      <c r="H180">
        <v>25796.869669293399</v>
      </c>
      <c r="I180" t="s">
        <v>18</v>
      </c>
      <c r="J180" s="1">
        <v>44841</v>
      </c>
      <c r="K180" t="s">
        <v>53</v>
      </c>
      <c r="L180" t="s">
        <v>37</v>
      </c>
      <c r="M180">
        <f>YEAR(Table2[[#This Row],[Date of Admission]])</f>
        <v>2022</v>
      </c>
    </row>
    <row r="181" spans="1:13" x14ac:dyDescent="0.2">
      <c r="A181" t="s">
        <v>226</v>
      </c>
      <c r="B181">
        <v>36</v>
      </c>
      <c r="C181" t="s">
        <v>14</v>
      </c>
      <c r="D181" t="s">
        <v>71</v>
      </c>
      <c r="E181" t="s">
        <v>52</v>
      </c>
      <c r="F181" s="1">
        <v>44184</v>
      </c>
      <c r="G181" t="s">
        <v>43</v>
      </c>
      <c r="H181">
        <v>4266.7843071875204</v>
      </c>
      <c r="I181" t="s">
        <v>25</v>
      </c>
      <c r="J181" s="1">
        <v>44205</v>
      </c>
      <c r="K181" t="s">
        <v>53</v>
      </c>
      <c r="L181" t="s">
        <v>20</v>
      </c>
      <c r="M181">
        <f>YEAR(Table2[[#This Row],[Date of Admission]])</f>
        <v>2020</v>
      </c>
    </row>
    <row r="182" spans="1:13" x14ac:dyDescent="0.2">
      <c r="A182" t="s">
        <v>227</v>
      </c>
      <c r="B182">
        <v>54</v>
      </c>
      <c r="C182" t="s">
        <v>14</v>
      </c>
      <c r="D182" t="s">
        <v>39</v>
      </c>
      <c r="E182" t="s">
        <v>23</v>
      </c>
      <c r="F182" s="1">
        <v>45016</v>
      </c>
      <c r="G182" t="s">
        <v>47</v>
      </c>
      <c r="H182">
        <v>4751.1627410323799</v>
      </c>
      <c r="I182" t="s">
        <v>18</v>
      </c>
      <c r="J182" s="1">
        <v>45045</v>
      </c>
      <c r="K182" t="s">
        <v>40</v>
      </c>
      <c r="L182" t="s">
        <v>27</v>
      </c>
      <c r="M182">
        <f>YEAR(Table2[[#This Row],[Date of Admission]])</f>
        <v>2023</v>
      </c>
    </row>
    <row r="183" spans="1:13" x14ac:dyDescent="0.2">
      <c r="A183" t="s">
        <v>228</v>
      </c>
      <c r="B183">
        <v>81</v>
      </c>
      <c r="C183" t="s">
        <v>29</v>
      </c>
      <c r="D183" t="s">
        <v>15</v>
      </c>
      <c r="E183" t="s">
        <v>35</v>
      </c>
      <c r="F183" s="1">
        <v>43959</v>
      </c>
      <c r="G183" t="s">
        <v>31</v>
      </c>
      <c r="H183">
        <v>17968.495987589999</v>
      </c>
      <c r="I183" t="s">
        <v>25</v>
      </c>
      <c r="J183" s="1">
        <v>43979</v>
      </c>
      <c r="K183" t="s">
        <v>53</v>
      </c>
      <c r="L183" t="s">
        <v>27</v>
      </c>
      <c r="M183">
        <f>YEAR(Table2[[#This Row],[Date of Admission]])</f>
        <v>2020</v>
      </c>
    </row>
    <row r="184" spans="1:13" x14ac:dyDescent="0.2">
      <c r="A184" t="s">
        <v>229</v>
      </c>
      <c r="B184">
        <v>56</v>
      </c>
      <c r="C184" t="s">
        <v>29</v>
      </c>
      <c r="D184" t="s">
        <v>39</v>
      </c>
      <c r="E184" t="s">
        <v>23</v>
      </c>
      <c r="F184" s="1">
        <v>45138</v>
      </c>
      <c r="G184" t="s">
        <v>47</v>
      </c>
      <c r="H184">
        <v>11311.3273479975</v>
      </c>
      <c r="I184" t="s">
        <v>18</v>
      </c>
      <c r="J184" s="1">
        <v>45140</v>
      </c>
      <c r="K184" t="s">
        <v>53</v>
      </c>
      <c r="L184" t="s">
        <v>20</v>
      </c>
      <c r="M184">
        <f>YEAR(Table2[[#This Row],[Date of Admission]])</f>
        <v>2023</v>
      </c>
    </row>
    <row r="185" spans="1:13" x14ac:dyDescent="0.2">
      <c r="A185" t="s">
        <v>230</v>
      </c>
      <c r="B185">
        <v>30</v>
      </c>
      <c r="C185" t="s">
        <v>14</v>
      </c>
      <c r="D185" t="s">
        <v>45</v>
      </c>
      <c r="E185" t="s">
        <v>52</v>
      </c>
      <c r="F185" s="1">
        <v>44570</v>
      </c>
      <c r="G185" t="s">
        <v>17</v>
      </c>
      <c r="H185">
        <v>47242.224297681001</v>
      </c>
      <c r="I185" t="s">
        <v>25</v>
      </c>
      <c r="J185" s="1">
        <v>44573</v>
      </c>
      <c r="K185" t="s">
        <v>26</v>
      </c>
      <c r="L185" t="s">
        <v>27</v>
      </c>
      <c r="M185">
        <f>YEAR(Table2[[#This Row],[Date of Admission]])</f>
        <v>2022</v>
      </c>
    </row>
    <row r="186" spans="1:13" x14ac:dyDescent="0.2">
      <c r="A186" t="s">
        <v>231</v>
      </c>
      <c r="B186">
        <v>64</v>
      </c>
      <c r="C186" t="s">
        <v>29</v>
      </c>
      <c r="D186" t="s">
        <v>30</v>
      </c>
      <c r="E186" t="s">
        <v>35</v>
      </c>
      <c r="F186" s="1">
        <v>45276</v>
      </c>
      <c r="G186" t="s">
        <v>47</v>
      </c>
      <c r="H186">
        <v>17670.5052173935</v>
      </c>
      <c r="I186" t="s">
        <v>36</v>
      </c>
      <c r="J186" s="1">
        <v>45306</v>
      </c>
      <c r="K186" t="s">
        <v>19</v>
      </c>
      <c r="L186" t="s">
        <v>27</v>
      </c>
      <c r="M186">
        <f>YEAR(Table2[[#This Row],[Date of Admission]])</f>
        <v>2023</v>
      </c>
    </row>
    <row r="187" spans="1:13" x14ac:dyDescent="0.2">
      <c r="A187" t="s">
        <v>232</v>
      </c>
      <c r="B187">
        <v>76</v>
      </c>
      <c r="C187" t="s">
        <v>14</v>
      </c>
      <c r="D187" t="s">
        <v>22</v>
      </c>
      <c r="E187" t="s">
        <v>23</v>
      </c>
      <c r="F187" s="1">
        <v>44170</v>
      </c>
      <c r="G187" t="s">
        <v>24</v>
      </c>
      <c r="H187">
        <v>5714.7480179146596</v>
      </c>
      <c r="I187" t="s">
        <v>36</v>
      </c>
      <c r="J187" s="1">
        <v>44183</v>
      </c>
      <c r="K187" t="s">
        <v>53</v>
      </c>
      <c r="L187" t="s">
        <v>37</v>
      </c>
      <c r="M187">
        <f>YEAR(Table2[[#This Row],[Date of Admission]])</f>
        <v>2020</v>
      </c>
    </row>
    <row r="188" spans="1:13" x14ac:dyDescent="0.2">
      <c r="A188" t="s">
        <v>233</v>
      </c>
      <c r="B188">
        <v>21</v>
      </c>
      <c r="C188" t="s">
        <v>29</v>
      </c>
      <c r="D188" t="s">
        <v>39</v>
      </c>
      <c r="E188" t="s">
        <v>35</v>
      </c>
      <c r="F188" s="1">
        <v>44511</v>
      </c>
      <c r="G188" t="s">
        <v>47</v>
      </c>
      <c r="H188">
        <v>5985.9784872401897</v>
      </c>
      <c r="I188" t="s">
        <v>18</v>
      </c>
      <c r="J188" s="1">
        <v>44534</v>
      </c>
      <c r="K188" t="s">
        <v>40</v>
      </c>
      <c r="L188" t="s">
        <v>20</v>
      </c>
      <c r="M188">
        <f>YEAR(Table2[[#This Row],[Date of Admission]])</f>
        <v>2021</v>
      </c>
    </row>
    <row r="189" spans="1:13" x14ac:dyDescent="0.2">
      <c r="A189" t="s">
        <v>234</v>
      </c>
      <c r="B189">
        <v>59</v>
      </c>
      <c r="C189" t="s">
        <v>29</v>
      </c>
      <c r="D189" t="s">
        <v>34</v>
      </c>
      <c r="E189" t="s">
        <v>23</v>
      </c>
      <c r="F189" s="1">
        <v>43719</v>
      </c>
      <c r="G189" t="s">
        <v>17</v>
      </c>
      <c r="H189">
        <v>27385.736227988102</v>
      </c>
      <c r="I189" t="s">
        <v>25</v>
      </c>
      <c r="J189" s="1">
        <v>43723</v>
      </c>
      <c r="K189" t="s">
        <v>40</v>
      </c>
      <c r="L189" t="s">
        <v>27</v>
      </c>
      <c r="M189">
        <f>YEAR(Table2[[#This Row],[Date of Admission]])</f>
        <v>2019</v>
      </c>
    </row>
    <row r="190" spans="1:13" x14ac:dyDescent="0.2">
      <c r="A190" t="s">
        <v>235</v>
      </c>
      <c r="B190">
        <v>31</v>
      </c>
      <c r="C190" t="s">
        <v>29</v>
      </c>
      <c r="D190" t="s">
        <v>30</v>
      </c>
      <c r="E190" t="s">
        <v>35</v>
      </c>
      <c r="F190" s="1">
        <v>44180</v>
      </c>
      <c r="G190" t="s">
        <v>43</v>
      </c>
      <c r="H190">
        <v>3730.00219089662</v>
      </c>
      <c r="I190" t="s">
        <v>18</v>
      </c>
      <c r="J190" s="1">
        <v>44197</v>
      </c>
      <c r="K190" t="s">
        <v>26</v>
      </c>
      <c r="L190" t="s">
        <v>37</v>
      </c>
      <c r="M190">
        <f>YEAR(Table2[[#This Row],[Date of Admission]])</f>
        <v>2020</v>
      </c>
    </row>
    <row r="191" spans="1:13" x14ac:dyDescent="0.2">
      <c r="A191" t="s">
        <v>236</v>
      </c>
      <c r="B191">
        <v>36</v>
      </c>
      <c r="C191" t="s">
        <v>29</v>
      </c>
      <c r="D191" t="s">
        <v>34</v>
      </c>
      <c r="E191" t="s">
        <v>42</v>
      </c>
      <c r="F191" s="1">
        <v>44903</v>
      </c>
      <c r="G191" t="s">
        <v>17</v>
      </c>
      <c r="H191">
        <v>22480.965928930698</v>
      </c>
      <c r="I191" t="s">
        <v>36</v>
      </c>
      <c r="J191" s="1">
        <v>44928</v>
      </c>
      <c r="K191" t="s">
        <v>26</v>
      </c>
      <c r="L191" t="s">
        <v>27</v>
      </c>
      <c r="M191">
        <f>YEAR(Table2[[#This Row],[Date of Admission]])</f>
        <v>2022</v>
      </c>
    </row>
    <row r="192" spans="1:13" x14ac:dyDescent="0.2">
      <c r="A192" t="s">
        <v>237</v>
      </c>
      <c r="B192">
        <v>42</v>
      </c>
      <c r="C192" t="s">
        <v>29</v>
      </c>
      <c r="D192" t="s">
        <v>63</v>
      </c>
      <c r="E192" t="s">
        <v>35</v>
      </c>
      <c r="F192" s="1">
        <v>44392</v>
      </c>
      <c r="G192" t="s">
        <v>31</v>
      </c>
      <c r="H192">
        <v>35022.316712360604</v>
      </c>
      <c r="I192" t="s">
        <v>36</v>
      </c>
      <c r="J192" s="1">
        <v>44413</v>
      </c>
      <c r="K192" t="s">
        <v>32</v>
      </c>
      <c r="L192" t="s">
        <v>27</v>
      </c>
      <c r="M192">
        <f>YEAR(Table2[[#This Row],[Date of Admission]])</f>
        <v>2021</v>
      </c>
    </row>
    <row r="193" spans="1:13" x14ac:dyDescent="0.2">
      <c r="A193" t="s">
        <v>238</v>
      </c>
      <c r="B193">
        <v>18</v>
      </c>
      <c r="C193" t="s">
        <v>29</v>
      </c>
      <c r="D193" t="s">
        <v>39</v>
      </c>
      <c r="E193" t="s">
        <v>42</v>
      </c>
      <c r="F193" s="1">
        <v>44728</v>
      </c>
      <c r="G193" t="s">
        <v>17</v>
      </c>
      <c r="H193">
        <v>45072.418258940997</v>
      </c>
      <c r="I193" t="s">
        <v>18</v>
      </c>
      <c r="J193" s="1">
        <v>44746</v>
      </c>
      <c r="K193" t="s">
        <v>53</v>
      </c>
      <c r="L193" t="s">
        <v>27</v>
      </c>
      <c r="M193">
        <f>YEAR(Table2[[#This Row],[Date of Admission]])</f>
        <v>2022</v>
      </c>
    </row>
    <row r="194" spans="1:13" x14ac:dyDescent="0.2">
      <c r="A194" t="s">
        <v>239</v>
      </c>
      <c r="B194">
        <v>62</v>
      </c>
      <c r="C194" t="s">
        <v>29</v>
      </c>
      <c r="D194" t="s">
        <v>22</v>
      </c>
      <c r="E194" t="s">
        <v>23</v>
      </c>
      <c r="F194" s="1">
        <v>45331</v>
      </c>
      <c r="G194" t="s">
        <v>43</v>
      </c>
      <c r="H194">
        <v>45902.707644690199</v>
      </c>
      <c r="I194" t="s">
        <v>18</v>
      </c>
      <c r="J194" s="1">
        <v>45341</v>
      </c>
      <c r="K194" t="s">
        <v>32</v>
      </c>
      <c r="L194" t="s">
        <v>20</v>
      </c>
      <c r="M194">
        <f>YEAR(Table2[[#This Row],[Date of Admission]])</f>
        <v>2024</v>
      </c>
    </row>
    <row r="195" spans="1:13" x14ac:dyDescent="0.2">
      <c r="A195" t="s">
        <v>240</v>
      </c>
      <c r="B195">
        <v>53</v>
      </c>
      <c r="C195" t="s">
        <v>14</v>
      </c>
      <c r="D195" t="s">
        <v>39</v>
      </c>
      <c r="E195" t="s">
        <v>52</v>
      </c>
      <c r="F195" s="1">
        <v>45355</v>
      </c>
      <c r="G195" t="s">
        <v>24</v>
      </c>
      <c r="H195">
        <v>28899.185758748299</v>
      </c>
      <c r="I195" t="s">
        <v>25</v>
      </c>
      <c r="J195" s="1">
        <v>45369</v>
      </c>
      <c r="K195" t="s">
        <v>19</v>
      </c>
      <c r="L195" t="s">
        <v>37</v>
      </c>
      <c r="M195">
        <f>YEAR(Table2[[#This Row],[Date of Admission]])</f>
        <v>2024</v>
      </c>
    </row>
    <row r="196" spans="1:13" x14ac:dyDescent="0.2">
      <c r="A196" t="s">
        <v>241</v>
      </c>
      <c r="B196">
        <v>82</v>
      </c>
      <c r="C196" t="s">
        <v>29</v>
      </c>
      <c r="D196" t="s">
        <v>22</v>
      </c>
      <c r="E196" t="s">
        <v>23</v>
      </c>
      <c r="F196" s="1">
        <v>44603</v>
      </c>
      <c r="G196" t="s">
        <v>17</v>
      </c>
      <c r="H196">
        <v>39003.1814380949</v>
      </c>
      <c r="I196" t="s">
        <v>36</v>
      </c>
      <c r="J196" s="1">
        <v>44617</v>
      </c>
      <c r="K196" t="s">
        <v>53</v>
      </c>
      <c r="L196" t="s">
        <v>20</v>
      </c>
      <c r="M196">
        <f>YEAR(Table2[[#This Row],[Date of Admission]])</f>
        <v>2022</v>
      </c>
    </row>
    <row r="197" spans="1:13" x14ac:dyDescent="0.2">
      <c r="A197" t="s">
        <v>242</v>
      </c>
      <c r="B197">
        <v>19</v>
      </c>
      <c r="C197" t="s">
        <v>29</v>
      </c>
      <c r="D197" t="s">
        <v>71</v>
      </c>
      <c r="E197" t="s">
        <v>35</v>
      </c>
      <c r="F197" s="1">
        <v>44600</v>
      </c>
      <c r="G197" t="s">
        <v>17</v>
      </c>
      <c r="H197">
        <v>10348.818521438599</v>
      </c>
      <c r="I197" t="s">
        <v>25</v>
      </c>
      <c r="J197" s="1">
        <v>44609</v>
      </c>
      <c r="K197" t="s">
        <v>26</v>
      </c>
      <c r="L197" t="s">
        <v>27</v>
      </c>
      <c r="M197">
        <f>YEAR(Table2[[#This Row],[Date of Admission]])</f>
        <v>2022</v>
      </c>
    </row>
    <row r="198" spans="1:13" x14ac:dyDescent="0.2">
      <c r="A198" t="s">
        <v>243</v>
      </c>
      <c r="B198">
        <v>83</v>
      </c>
      <c r="C198" t="s">
        <v>29</v>
      </c>
      <c r="D198" t="s">
        <v>30</v>
      </c>
      <c r="E198" t="s">
        <v>52</v>
      </c>
      <c r="F198" s="1">
        <v>45092</v>
      </c>
      <c r="G198" t="s">
        <v>43</v>
      </c>
      <c r="H198">
        <v>14371.5396986661</v>
      </c>
      <c r="I198" t="s">
        <v>18</v>
      </c>
      <c r="J198" s="1">
        <v>45107</v>
      </c>
      <c r="K198" t="s">
        <v>19</v>
      </c>
      <c r="L198" t="s">
        <v>27</v>
      </c>
      <c r="M198">
        <f>YEAR(Table2[[#This Row],[Date of Admission]])</f>
        <v>2023</v>
      </c>
    </row>
    <row r="199" spans="1:13" x14ac:dyDescent="0.2">
      <c r="A199" t="s">
        <v>244</v>
      </c>
      <c r="B199">
        <v>26</v>
      </c>
      <c r="C199" t="s">
        <v>14</v>
      </c>
      <c r="D199" t="s">
        <v>71</v>
      </c>
      <c r="E199" t="s">
        <v>35</v>
      </c>
      <c r="F199" s="1">
        <v>44480</v>
      </c>
      <c r="G199" t="s">
        <v>43</v>
      </c>
      <c r="H199">
        <v>13769.403128763801</v>
      </c>
      <c r="I199" t="s">
        <v>18</v>
      </c>
      <c r="J199" s="1">
        <v>44493</v>
      </c>
      <c r="K199" t="s">
        <v>26</v>
      </c>
      <c r="L199" t="s">
        <v>37</v>
      </c>
      <c r="M199">
        <f>YEAR(Table2[[#This Row],[Date of Admission]])</f>
        <v>2021</v>
      </c>
    </row>
    <row r="200" spans="1:13" x14ac:dyDescent="0.2">
      <c r="A200" t="s">
        <v>245</v>
      </c>
      <c r="B200">
        <v>51</v>
      </c>
      <c r="C200" t="s">
        <v>14</v>
      </c>
      <c r="D200" t="s">
        <v>34</v>
      </c>
      <c r="E200" t="s">
        <v>59</v>
      </c>
      <c r="F200" s="1">
        <v>44542</v>
      </c>
      <c r="G200" t="s">
        <v>31</v>
      </c>
      <c r="H200">
        <v>35868.538636765501</v>
      </c>
      <c r="I200" t="s">
        <v>36</v>
      </c>
      <c r="J200" s="1">
        <v>44560</v>
      </c>
      <c r="K200" t="s">
        <v>53</v>
      </c>
      <c r="L200" t="s">
        <v>37</v>
      </c>
      <c r="M200">
        <f>YEAR(Table2[[#This Row],[Date of Admission]])</f>
        <v>2021</v>
      </c>
    </row>
    <row r="201" spans="1:13" x14ac:dyDescent="0.2">
      <c r="A201" t="s">
        <v>246</v>
      </c>
      <c r="B201">
        <v>20</v>
      </c>
      <c r="C201" t="s">
        <v>14</v>
      </c>
      <c r="D201" t="s">
        <v>34</v>
      </c>
      <c r="E201" t="s">
        <v>23</v>
      </c>
      <c r="F201" s="1">
        <v>45116</v>
      </c>
      <c r="G201" t="s">
        <v>17</v>
      </c>
      <c r="H201">
        <v>35205.284598024402</v>
      </c>
      <c r="I201" t="s">
        <v>25</v>
      </c>
      <c r="J201" s="1">
        <v>45122</v>
      </c>
      <c r="K201" t="s">
        <v>53</v>
      </c>
      <c r="L201" t="s">
        <v>37</v>
      </c>
      <c r="M201">
        <f>YEAR(Table2[[#This Row],[Date of Admission]])</f>
        <v>2023</v>
      </c>
    </row>
    <row r="202" spans="1:13" x14ac:dyDescent="0.2">
      <c r="A202" t="s">
        <v>247</v>
      </c>
      <c r="B202">
        <v>61</v>
      </c>
      <c r="C202" t="s">
        <v>29</v>
      </c>
      <c r="D202" t="s">
        <v>30</v>
      </c>
      <c r="E202" t="s">
        <v>23</v>
      </c>
      <c r="F202" s="1">
        <v>44082</v>
      </c>
      <c r="G202" t="s">
        <v>17</v>
      </c>
      <c r="H202">
        <v>21576.502345538702</v>
      </c>
      <c r="I202" t="s">
        <v>25</v>
      </c>
      <c r="J202" s="1">
        <v>44107</v>
      </c>
      <c r="K202" t="s">
        <v>26</v>
      </c>
      <c r="L202" t="s">
        <v>37</v>
      </c>
      <c r="M202">
        <f>YEAR(Table2[[#This Row],[Date of Admission]])</f>
        <v>2020</v>
      </c>
    </row>
    <row r="203" spans="1:13" x14ac:dyDescent="0.2">
      <c r="A203" t="s">
        <v>248</v>
      </c>
      <c r="B203">
        <v>44</v>
      </c>
      <c r="C203" t="s">
        <v>14</v>
      </c>
      <c r="D203" t="s">
        <v>45</v>
      </c>
      <c r="E203" t="s">
        <v>52</v>
      </c>
      <c r="F203" s="1">
        <v>44074</v>
      </c>
      <c r="G203" t="s">
        <v>31</v>
      </c>
      <c r="H203">
        <v>18771.010687105801</v>
      </c>
      <c r="I203" t="s">
        <v>18</v>
      </c>
      <c r="J203" s="1">
        <v>44092</v>
      </c>
      <c r="K203" t="s">
        <v>53</v>
      </c>
      <c r="L203" t="s">
        <v>37</v>
      </c>
      <c r="M203">
        <f>YEAR(Table2[[#This Row],[Date of Admission]])</f>
        <v>2020</v>
      </c>
    </row>
    <row r="204" spans="1:13" x14ac:dyDescent="0.2">
      <c r="A204" t="s">
        <v>249</v>
      </c>
      <c r="B204">
        <v>74</v>
      </c>
      <c r="C204" t="s">
        <v>29</v>
      </c>
      <c r="D204" t="s">
        <v>39</v>
      </c>
      <c r="E204" t="s">
        <v>16</v>
      </c>
      <c r="F204" s="1">
        <v>45392</v>
      </c>
      <c r="G204" t="s">
        <v>17</v>
      </c>
      <c r="H204">
        <v>21668.5645083491</v>
      </c>
      <c r="I204" t="s">
        <v>25</v>
      </c>
      <c r="J204" s="1">
        <v>45415</v>
      </c>
      <c r="K204" t="s">
        <v>53</v>
      </c>
      <c r="L204" t="s">
        <v>37</v>
      </c>
      <c r="M204">
        <f>YEAR(Table2[[#This Row],[Date of Admission]])</f>
        <v>2024</v>
      </c>
    </row>
    <row r="205" spans="1:13" x14ac:dyDescent="0.2">
      <c r="A205" t="s">
        <v>250</v>
      </c>
      <c r="B205">
        <v>82</v>
      </c>
      <c r="C205" t="s">
        <v>29</v>
      </c>
      <c r="D205" t="s">
        <v>15</v>
      </c>
      <c r="E205" t="s">
        <v>35</v>
      </c>
      <c r="F205" s="1">
        <v>44418</v>
      </c>
      <c r="G205" t="s">
        <v>47</v>
      </c>
      <c r="H205">
        <v>36339.819081174603</v>
      </c>
      <c r="I205" t="s">
        <v>36</v>
      </c>
      <c r="J205" s="1">
        <v>44448</v>
      </c>
      <c r="K205" t="s">
        <v>53</v>
      </c>
      <c r="L205" t="s">
        <v>27</v>
      </c>
      <c r="M205">
        <f>YEAR(Table2[[#This Row],[Date of Admission]])</f>
        <v>2021</v>
      </c>
    </row>
    <row r="206" spans="1:13" x14ac:dyDescent="0.2">
      <c r="A206" t="s">
        <v>251</v>
      </c>
      <c r="B206">
        <v>83</v>
      </c>
      <c r="C206" t="s">
        <v>14</v>
      </c>
      <c r="D206" t="s">
        <v>71</v>
      </c>
      <c r="E206" t="s">
        <v>35</v>
      </c>
      <c r="F206" s="1">
        <v>44586</v>
      </c>
      <c r="G206" t="s">
        <v>47</v>
      </c>
      <c r="H206">
        <v>40825.184423605002</v>
      </c>
      <c r="I206" t="s">
        <v>36</v>
      </c>
      <c r="J206" s="1">
        <v>44589</v>
      </c>
      <c r="K206" t="s">
        <v>32</v>
      </c>
      <c r="L206" t="s">
        <v>37</v>
      </c>
      <c r="M206">
        <f>YEAR(Table2[[#This Row],[Date of Admission]])</f>
        <v>2022</v>
      </c>
    </row>
    <row r="207" spans="1:13" x14ac:dyDescent="0.2">
      <c r="A207" t="s">
        <v>252</v>
      </c>
      <c r="B207">
        <v>62</v>
      </c>
      <c r="C207" t="s">
        <v>29</v>
      </c>
      <c r="D207" t="s">
        <v>45</v>
      </c>
      <c r="E207" t="s">
        <v>16</v>
      </c>
      <c r="F207" s="1">
        <v>45181</v>
      </c>
      <c r="G207" t="s">
        <v>17</v>
      </c>
      <c r="H207">
        <v>40469.566259100502</v>
      </c>
      <c r="I207" t="s">
        <v>36</v>
      </c>
      <c r="J207" s="1">
        <v>45211</v>
      </c>
      <c r="K207" t="s">
        <v>40</v>
      </c>
      <c r="L207" t="s">
        <v>20</v>
      </c>
      <c r="M207">
        <f>YEAR(Table2[[#This Row],[Date of Admission]])</f>
        <v>2023</v>
      </c>
    </row>
    <row r="208" spans="1:13" x14ac:dyDescent="0.2">
      <c r="A208" t="s">
        <v>253</v>
      </c>
      <c r="B208">
        <v>62</v>
      </c>
      <c r="C208" t="s">
        <v>29</v>
      </c>
      <c r="D208" t="s">
        <v>15</v>
      </c>
      <c r="E208" t="s">
        <v>23</v>
      </c>
      <c r="F208" s="1">
        <v>44048</v>
      </c>
      <c r="G208" t="s">
        <v>24</v>
      </c>
      <c r="H208">
        <v>25749.520835540301</v>
      </c>
      <c r="I208" t="s">
        <v>36</v>
      </c>
      <c r="J208" s="1">
        <v>44057</v>
      </c>
      <c r="K208" t="s">
        <v>26</v>
      </c>
      <c r="L208" t="s">
        <v>27</v>
      </c>
      <c r="M208">
        <f>YEAR(Table2[[#This Row],[Date of Admission]])</f>
        <v>2020</v>
      </c>
    </row>
    <row r="209" spans="1:13" x14ac:dyDescent="0.2">
      <c r="A209" t="s">
        <v>254</v>
      </c>
      <c r="B209">
        <v>18</v>
      </c>
      <c r="C209" t="s">
        <v>14</v>
      </c>
      <c r="D209" t="s">
        <v>30</v>
      </c>
      <c r="E209" t="s">
        <v>42</v>
      </c>
      <c r="F209" s="1">
        <v>44688</v>
      </c>
      <c r="G209" t="s">
        <v>31</v>
      </c>
      <c r="H209">
        <v>15841.201676512501</v>
      </c>
      <c r="I209" t="s">
        <v>18</v>
      </c>
      <c r="J209" s="1">
        <v>44715</v>
      </c>
      <c r="K209" t="s">
        <v>26</v>
      </c>
      <c r="L209" t="s">
        <v>37</v>
      </c>
      <c r="M209">
        <f>YEAR(Table2[[#This Row],[Date of Admission]])</f>
        <v>2022</v>
      </c>
    </row>
    <row r="210" spans="1:13" x14ac:dyDescent="0.2">
      <c r="A210" t="s">
        <v>255</v>
      </c>
      <c r="B210">
        <v>66</v>
      </c>
      <c r="C210" t="s">
        <v>14</v>
      </c>
      <c r="D210" t="s">
        <v>22</v>
      </c>
      <c r="E210" t="s">
        <v>59</v>
      </c>
      <c r="F210" s="1">
        <v>44605</v>
      </c>
      <c r="G210" t="s">
        <v>24</v>
      </c>
      <c r="H210">
        <v>36086.572078054298</v>
      </c>
      <c r="I210" t="s">
        <v>18</v>
      </c>
      <c r="J210" s="1">
        <v>44615</v>
      </c>
      <c r="K210" t="s">
        <v>19</v>
      </c>
      <c r="L210" t="s">
        <v>20</v>
      </c>
      <c r="M210">
        <f>YEAR(Table2[[#This Row],[Date of Admission]])</f>
        <v>2022</v>
      </c>
    </row>
    <row r="211" spans="1:13" x14ac:dyDescent="0.2">
      <c r="A211" t="s">
        <v>256</v>
      </c>
      <c r="B211">
        <v>26</v>
      </c>
      <c r="C211" t="s">
        <v>29</v>
      </c>
      <c r="D211" t="s">
        <v>39</v>
      </c>
      <c r="E211" t="s">
        <v>42</v>
      </c>
      <c r="F211" s="1">
        <v>45354</v>
      </c>
      <c r="G211" t="s">
        <v>17</v>
      </c>
      <c r="H211">
        <v>32085.227646508702</v>
      </c>
      <c r="I211" t="s">
        <v>18</v>
      </c>
      <c r="J211" s="1">
        <v>45378</v>
      </c>
      <c r="K211" t="s">
        <v>40</v>
      </c>
      <c r="L211" t="s">
        <v>27</v>
      </c>
      <c r="M211">
        <f>YEAR(Table2[[#This Row],[Date of Admission]])</f>
        <v>2024</v>
      </c>
    </row>
    <row r="212" spans="1:13" x14ac:dyDescent="0.2">
      <c r="A212" t="s">
        <v>257</v>
      </c>
      <c r="B212">
        <v>45</v>
      </c>
      <c r="C212" t="s">
        <v>29</v>
      </c>
      <c r="D212" t="s">
        <v>63</v>
      </c>
      <c r="E212" t="s">
        <v>16</v>
      </c>
      <c r="F212" s="1">
        <v>43904</v>
      </c>
      <c r="G212" t="s">
        <v>47</v>
      </c>
      <c r="H212">
        <v>12356.560651293899</v>
      </c>
      <c r="I212" t="s">
        <v>25</v>
      </c>
      <c r="J212" s="1">
        <v>43924</v>
      </c>
      <c r="K212" t="s">
        <v>32</v>
      </c>
      <c r="L212" t="s">
        <v>27</v>
      </c>
      <c r="M212">
        <f>YEAR(Table2[[#This Row],[Date of Admission]])</f>
        <v>2020</v>
      </c>
    </row>
    <row r="213" spans="1:13" x14ac:dyDescent="0.2">
      <c r="A213" t="s">
        <v>258</v>
      </c>
      <c r="B213">
        <v>26</v>
      </c>
      <c r="C213" t="s">
        <v>14</v>
      </c>
      <c r="D213" t="s">
        <v>45</v>
      </c>
      <c r="E213" t="s">
        <v>42</v>
      </c>
      <c r="F213" s="1">
        <v>45329</v>
      </c>
      <c r="G213" t="s">
        <v>31</v>
      </c>
      <c r="H213">
        <v>15367.411315522801</v>
      </c>
      <c r="I213" t="s">
        <v>25</v>
      </c>
      <c r="J213" s="1">
        <v>45346</v>
      </c>
      <c r="K213" t="s">
        <v>26</v>
      </c>
      <c r="L213" t="s">
        <v>27</v>
      </c>
      <c r="M213">
        <f>YEAR(Table2[[#This Row],[Date of Admission]])</f>
        <v>2024</v>
      </c>
    </row>
    <row r="214" spans="1:13" x14ac:dyDescent="0.2">
      <c r="A214" t="s">
        <v>259</v>
      </c>
      <c r="B214">
        <v>26</v>
      </c>
      <c r="C214" t="s">
        <v>14</v>
      </c>
      <c r="D214" t="s">
        <v>34</v>
      </c>
      <c r="E214" t="s">
        <v>16</v>
      </c>
      <c r="F214" s="1">
        <v>43667</v>
      </c>
      <c r="G214" t="s">
        <v>24</v>
      </c>
      <c r="H214">
        <v>40190.202918017501</v>
      </c>
      <c r="I214" t="s">
        <v>36</v>
      </c>
      <c r="J214" s="1">
        <v>43682</v>
      </c>
      <c r="K214" t="s">
        <v>40</v>
      </c>
      <c r="L214" t="s">
        <v>37</v>
      </c>
      <c r="M214">
        <f>YEAR(Table2[[#This Row],[Date of Admission]])</f>
        <v>2019</v>
      </c>
    </row>
    <row r="215" spans="1:13" x14ac:dyDescent="0.2">
      <c r="A215" t="s">
        <v>260</v>
      </c>
      <c r="B215">
        <v>79</v>
      </c>
      <c r="C215" t="s">
        <v>29</v>
      </c>
      <c r="D215" t="s">
        <v>34</v>
      </c>
      <c r="E215" t="s">
        <v>35</v>
      </c>
      <c r="F215" s="1">
        <v>45030</v>
      </c>
      <c r="G215" t="s">
        <v>31</v>
      </c>
      <c r="H215">
        <v>3872.09698519108</v>
      </c>
      <c r="I215" t="s">
        <v>36</v>
      </c>
      <c r="J215" s="1">
        <v>45034</v>
      </c>
      <c r="K215" t="s">
        <v>40</v>
      </c>
      <c r="L215" t="s">
        <v>27</v>
      </c>
      <c r="M215">
        <f>YEAR(Table2[[#This Row],[Date of Admission]])</f>
        <v>2023</v>
      </c>
    </row>
    <row r="216" spans="1:13" x14ac:dyDescent="0.2">
      <c r="A216" t="s">
        <v>261</v>
      </c>
      <c r="B216">
        <v>33</v>
      </c>
      <c r="C216" t="s">
        <v>29</v>
      </c>
      <c r="D216" t="s">
        <v>15</v>
      </c>
      <c r="E216" t="s">
        <v>59</v>
      </c>
      <c r="F216" s="1">
        <v>45308</v>
      </c>
      <c r="G216" t="s">
        <v>47</v>
      </c>
      <c r="H216">
        <v>3311.5891055535499</v>
      </c>
      <c r="I216" t="s">
        <v>36</v>
      </c>
      <c r="J216" s="1">
        <v>45327</v>
      </c>
      <c r="K216" t="s">
        <v>53</v>
      </c>
      <c r="L216" t="s">
        <v>20</v>
      </c>
      <c r="M216">
        <f>YEAR(Table2[[#This Row],[Date of Admission]])</f>
        <v>2024</v>
      </c>
    </row>
    <row r="217" spans="1:13" x14ac:dyDescent="0.2">
      <c r="A217" t="s">
        <v>262</v>
      </c>
      <c r="B217">
        <v>34</v>
      </c>
      <c r="C217" t="s">
        <v>29</v>
      </c>
      <c r="D217" t="s">
        <v>34</v>
      </c>
      <c r="E217" t="s">
        <v>16</v>
      </c>
      <c r="F217" s="1">
        <v>43641</v>
      </c>
      <c r="G217" t="s">
        <v>43</v>
      </c>
      <c r="H217">
        <v>18524.866637485698</v>
      </c>
      <c r="I217" t="s">
        <v>18</v>
      </c>
      <c r="J217" s="1">
        <v>43646</v>
      </c>
      <c r="K217" t="s">
        <v>53</v>
      </c>
      <c r="L217" t="s">
        <v>37</v>
      </c>
      <c r="M217">
        <f>YEAR(Table2[[#This Row],[Date of Admission]])</f>
        <v>2019</v>
      </c>
    </row>
    <row r="218" spans="1:13" x14ac:dyDescent="0.2">
      <c r="A218" t="s">
        <v>263</v>
      </c>
      <c r="B218">
        <v>76</v>
      </c>
      <c r="C218" t="s">
        <v>29</v>
      </c>
      <c r="D218" t="s">
        <v>45</v>
      </c>
      <c r="E218" t="s">
        <v>52</v>
      </c>
      <c r="F218" s="1">
        <v>44336</v>
      </c>
      <c r="G218" t="s">
        <v>43</v>
      </c>
      <c r="H218">
        <v>30107.4870351719</v>
      </c>
      <c r="I218" t="s">
        <v>25</v>
      </c>
      <c r="J218" s="1">
        <v>44359</v>
      </c>
      <c r="K218" t="s">
        <v>26</v>
      </c>
      <c r="L218" t="s">
        <v>27</v>
      </c>
      <c r="M218">
        <f>YEAR(Table2[[#This Row],[Date of Admission]])</f>
        <v>2021</v>
      </c>
    </row>
    <row r="219" spans="1:13" x14ac:dyDescent="0.2">
      <c r="A219" t="s">
        <v>264</v>
      </c>
      <c r="B219">
        <v>50</v>
      </c>
      <c r="C219" t="s">
        <v>29</v>
      </c>
      <c r="D219" t="s">
        <v>15</v>
      </c>
      <c r="E219" t="s">
        <v>23</v>
      </c>
      <c r="F219" s="1">
        <v>43924</v>
      </c>
      <c r="G219" t="s">
        <v>43</v>
      </c>
      <c r="H219">
        <v>15826.101276253899</v>
      </c>
      <c r="I219" t="s">
        <v>25</v>
      </c>
      <c r="J219" s="1">
        <v>43932</v>
      </c>
      <c r="K219" t="s">
        <v>19</v>
      </c>
      <c r="L219" t="s">
        <v>20</v>
      </c>
      <c r="M219">
        <f>YEAR(Table2[[#This Row],[Date of Admission]])</f>
        <v>2020</v>
      </c>
    </row>
    <row r="220" spans="1:13" x14ac:dyDescent="0.2">
      <c r="A220" t="s">
        <v>265</v>
      </c>
      <c r="B220">
        <v>44</v>
      </c>
      <c r="C220" t="s">
        <v>14</v>
      </c>
      <c r="D220" t="s">
        <v>15</v>
      </c>
      <c r="E220" t="s">
        <v>35</v>
      </c>
      <c r="F220" s="1">
        <v>43851</v>
      </c>
      <c r="G220" t="s">
        <v>17</v>
      </c>
      <c r="H220">
        <v>26437.774630145701</v>
      </c>
      <c r="I220" t="s">
        <v>25</v>
      </c>
      <c r="J220" s="1">
        <v>43860</v>
      </c>
      <c r="K220" t="s">
        <v>26</v>
      </c>
      <c r="L220" t="s">
        <v>37</v>
      </c>
      <c r="M220">
        <f>YEAR(Table2[[#This Row],[Date of Admission]])</f>
        <v>2020</v>
      </c>
    </row>
    <row r="221" spans="1:13" x14ac:dyDescent="0.2">
      <c r="A221" t="s">
        <v>266</v>
      </c>
      <c r="B221">
        <v>38</v>
      </c>
      <c r="C221" t="s">
        <v>29</v>
      </c>
      <c r="D221" t="s">
        <v>45</v>
      </c>
      <c r="E221" t="s">
        <v>59</v>
      </c>
      <c r="F221" s="1">
        <v>44532</v>
      </c>
      <c r="G221" t="s">
        <v>31</v>
      </c>
      <c r="H221">
        <v>49663.452871020403</v>
      </c>
      <c r="I221" t="s">
        <v>25</v>
      </c>
      <c r="J221" s="1">
        <v>44537</v>
      </c>
      <c r="K221" t="s">
        <v>19</v>
      </c>
      <c r="L221" t="s">
        <v>20</v>
      </c>
      <c r="M221">
        <f>YEAR(Table2[[#This Row],[Date of Admission]])</f>
        <v>2021</v>
      </c>
    </row>
    <row r="222" spans="1:13" x14ac:dyDescent="0.2">
      <c r="A222" t="s">
        <v>267</v>
      </c>
      <c r="B222">
        <v>43</v>
      </c>
      <c r="C222" t="s">
        <v>14</v>
      </c>
      <c r="D222" t="s">
        <v>39</v>
      </c>
      <c r="E222" t="s">
        <v>16</v>
      </c>
      <c r="F222" s="1">
        <v>44344</v>
      </c>
      <c r="G222" t="s">
        <v>31</v>
      </c>
      <c r="H222">
        <v>27278.236885224102</v>
      </c>
      <c r="I222" t="s">
        <v>18</v>
      </c>
      <c r="J222" s="1">
        <v>44365</v>
      </c>
      <c r="K222" t="s">
        <v>26</v>
      </c>
      <c r="L222" t="s">
        <v>37</v>
      </c>
      <c r="M222">
        <f>YEAR(Table2[[#This Row],[Date of Admission]])</f>
        <v>2021</v>
      </c>
    </row>
    <row r="223" spans="1:13" x14ac:dyDescent="0.2">
      <c r="A223" t="s">
        <v>268</v>
      </c>
      <c r="B223">
        <v>27</v>
      </c>
      <c r="C223" t="s">
        <v>29</v>
      </c>
      <c r="D223" t="s">
        <v>39</v>
      </c>
      <c r="E223" t="s">
        <v>52</v>
      </c>
      <c r="F223" s="1">
        <v>43913</v>
      </c>
      <c r="G223" t="s">
        <v>47</v>
      </c>
      <c r="H223">
        <v>33170.436740038502</v>
      </c>
      <c r="I223" t="s">
        <v>18</v>
      </c>
      <c r="J223" s="1">
        <v>43932</v>
      </c>
      <c r="K223" t="s">
        <v>19</v>
      </c>
      <c r="L223" t="s">
        <v>37</v>
      </c>
      <c r="M223">
        <f>YEAR(Table2[[#This Row],[Date of Admission]])</f>
        <v>2020</v>
      </c>
    </row>
    <row r="224" spans="1:13" x14ac:dyDescent="0.2">
      <c r="A224" t="s">
        <v>269</v>
      </c>
      <c r="B224">
        <v>78</v>
      </c>
      <c r="C224" t="s">
        <v>14</v>
      </c>
      <c r="D224" t="s">
        <v>22</v>
      </c>
      <c r="E224" t="s">
        <v>42</v>
      </c>
      <c r="F224" s="1">
        <v>44779</v>
      </c>
      <c r="G224" t="s">
        <v>24</v>
      </c>
      <c r="H224">
        <v>1791.3890011113101</v>
      </c>
      <c r="I224" t="s">
        <v>18</v>
      </c>
      <c r="J224" s="1">
        <v>44809</v>
      </c>
      <c r="K224" t="s">
        <v>19</v>
      </c>
      <c r="L224" t="s">
        <v>20</v>
      </c>
      <c r="M224">
        <f>YEAR(Table2[[#This Row],[Date of Admission]])</f>
        <v>2022</v>
      </c>
    </row>
    <row r="225" spans="1:13" x14ac:dyDescent="0.2">
      <c r="A225" t="s">
        <v>270</v>
      </c>
      <c r="B225">
        <v>40</v>
      </c>
      <c r="C225" t="s">
        <v>14</v>
      </c>
      <c r="D225" t="s">
        <v>22</v>
      </c>
      <c r="E225" t="s">
        <v>35</v>
      </c>
      <c r="F225" s="1">
        <v>45360</v>
      </c>
      <c r="G225" t="s">
        <v>17</v>
      </c>
      <c r="H225">
        <v>31188.0414917411</v>
      </c>
      <c r="I225" t="s">
        <v>36</v>
      </c>
      <c r="J225" s="1">
        <v>45387</v>
      </c>
      <c r="K225" t="s">
        <v>26</v>
      </c>
      <c r="L225" t="s">
        <v>20</v>
      </c>
      <c r="M225">
        <f>YEAR(Table2[[#This Row],[Date of Admission]])</f>
        <v>2024</v>
      </c>
    </row>
    <row r="226" spans="1:13" x14ac:dyDescent="0.2">
      <c r="A226" t="s">
        <v>271</v>
      </c>
      <c r="B226">
        <v>25</v>
      </c>
      <c r="C226" t="s">
        <v>14</v>
      </c>
      <c r="D226" t="s">
        <v>45</v>
      </c>
      <c r="E226" t="s">
        <v>59</v>
      </c>
      <c r="F226" s="1">
        <v>44635</v>
      </c>
      <c r="G226" t="s">
        <v>24</v>
      </c>
      <c r="H226">
        <v>13854.6457636635</v>
      </c>
      <c r="I226" t="s">
        <v>36</v>
      </c>
      <c r="J226" s="1">
        <v>44661</v>
      </c>
      <c r="K226" t="s">
        <v>40</v>
      </c>
      <c r="L226" t="s">
        <v>27</v>
      </c>
      <c r="M226">
        <f>YEAR(Table2[[#This Row],[Date of Admission]])</f>
        <v>2022</v>
      </c>
    </row>
    <row r="227" spans="1:13" x14ac:dyDescent="0.2">
      <c r="A227" t="s">
        <v>272</v>
      </c>
      <c r="B227">
        <v>67</v>
      </c>
      <c r="C227" t="s">
        <v>29</v>
      </c>
      <c r="D227" t="s">
        <v>39</v>
      </c>
      <c r="E227" t="s">
        <v>23</v>
      </c>
      <c r="F227" s="1">
        <v>44051</v>
      </c>
      <c r="G227" t="s">
        <v>17</v>
      </c>
      <c r="H227">
        <v>11870.9083801416</v>
      </c>
      <c r="I227" t="s">
        <v>36</v>
      </c>
      <c r="J227" s="1">
        <v>44057</v>
      </c>
      <c r="K227" t="s">
        <v>26</v>
      </c>
      <c r="L227" t="s">
        <v>37</v>
      </c>
      <c r="M227">
        <f>YEAR(Table2[[#This Row],[Date of Admission]])</f>
        <v>2020</v>
      </c>
    </row>
    <row r="228" spans="1:13" x14ac:dyDescent="0.2">
      <c r="A228" t="s">
        <v>273</v>
      </c>
      <c r="B228">
        <v>47</v>
      </c>
      <c r="C228" t="s">
        <v>29</v>
      </c>
      <c r="D228" t="s">
        <v>39</v>
      </c>
      <c r="E228" t="s">
        <v>23</v>
      </c>
      <c r="F228" s="1">
        <v>43625</v>
      </c>
      <c r="G228" t="s">
        <v>43</v>
      </c>
      <c r="H228">
        <v>25574.127619098599</v>
      </c>
      <c r="I228" t="s">
        <v>36</v>
      </c>
      <c r="J228" s="1">
        <v>43647</v>
      </c>
      <c r="K228" t="s">
        <v>32</v>
      </c>
      <c r="L228" t="s">
        <v>27</v>
      </c>
      <c r="M228">
        <f>YEAR(Table2[[#This Row],[Date of Admission]])</f>
        <v>2019</v>
      </c>
    </row>
    <row r="229" spans="1:13" x14ac:dyDescent="0.2">
      <c r="A229" t="s">
        <v>274</v>
      </c>
      <c r="B229">
        <v>75</v>
      </c>
      <c r="C229" t="s">
        <v>14</v>
      </c>
      <c r="D229" t="s">
        <v>45</v>
      </c>
      <c r="E229" t="s">
        <v>59</v>
      </c>
      <c r="F229" s="1">
        <v>43715</v>
      </c>
      <c r="G229" t="s">
        <v>31</v>
      </c>
      <c r="H229">
        <v>6132.4040952386404</v>
      </c>
      <c r="I229" t="s">
        <v>18</v>
      </c>
      <c r="J229" s="1">
        <v>43744</v>
      </c>
      <c r="K229" t="s">
        <v>19</v>
      </c>
      <c r="L229" t="s">
        <v>20</v>
      </c>
      <c r="M229">
        <f>YEAR(Table2[[#This Row],[Date of Admission]])</f>
        <v>2019</v>
      </c>
    </row>
    <row r="230" spans="1:13" x14ac:dyDescent="0.2">
      <c r="A230" t="s">
        <v>275</v>
      </c>
      <c r="B230">
        <v>58</v>
      </c>
      <c r="C230" t="s">
        <v>29</v>
      </c>
      <c r="D230" t="s">
        <v>30</v>
      </c>
      <c r="E230" t="s">
        <v>23</v>
      </c>
      <c r="F230" s="1">
        <v>44241</v>
      </c>
      <c r="G230" t="s">
        <v>24</v>
      </c>
      <c r="H230">
        <v>33343.902493747803</v>
      </c>
      <c r="I230" t="s">
        <v>36</v>
      </c>
      <c r="J230" s="1">
        <v>44253</v>
      </c>
      <c r="K230" t="s">
        <v>53</v>
      </c>
      <c r="L230" t="s">
        <v>27</v>
      </c>
      <c r="M230">
        <f>YEAR(Table2[[#This Row],[Date of Admission]])</f>
        <v>2021</v>
      </c>
    </row>
    <row r="231" spans="1:13" x14ac:dyDescent="0.2">
      <c r="A231" t="s">
        <v>276</v>
      </c>
      <c r="B231">
        <v>26</v>
      </c>
      <c r="C231" t="s">
        <v>29</v>
      </c>
      <c r="D231" t="s">
        <v>30</v>
      </c>
      <c r="E231" t="s">
        <v>52</v>
      </c>
      <c r="F231" s="1">
        <v>43779</v>
      </c>
      <c r="G231" t="s">
        <v>24</v>
      </c>
      <c r="H231">
        <v>43484.249746440502</v>
      </c>
      <c r="I231" t="s">
        <v>18</v>
      </c>
      <c r="J231" s="1">
        <v>43795</v>
      </c>
      <c r="K231" t="s">
        <v>40</v>
      </c>
      <c r="L231" t="s">
        <v>37</v>
      </c>
      <c r="M231">
        <f>YEAR(Table2[[#This Row],[Date of Admission]])</f>
        <v>2019</v>
      </c>
    </row>
    <row r="232" spans="1:13" x14ac:dyDescent="0.2">
      <c r="A232" t="s">
        <v>277</v>
      </c>
      <c r="B232">
        <v>22</v>
      </c>
      <c r="C232" t="s">
        <v>14</v>
      </c>
      <c r="D232" t="s">
        <v>34</v>
      </c>
      <c r="E232" t="s">
        <v>23</v>
      </c>
      <c r="F232" s="1">
        <v>45032</v>
      </c>
      <c r="G232" t="s">
        <v>43</v>
      </c>
      <c r="H232">
        <v>7858.9268599467896</v>
      </c>
      <c r="I232" t="s">
        <v>18</v>
      </c>
      <c r="J232" s="1">
        <v>45060</v>
      </c>
      <c r="K232" t="s">
        <v>40</v>
      </c>
      <c r="L232" t="s">
        <v>20</v>
      </c>
      <c r="M232">
        <f>YEAR(Table2[[#This Row],[Date of Admission]])</f>
        <v>2023</v>
      </c>
    </row>
    <row r="233" spans="1:13" x14ac:dyDescent="0.2">
      <c r="A233" t="s">
        <v>278</v>
      </c>
      <c r="B233">
        <v>29</v>
      </c>
      <c r="C233" t="s">
        <v>29</v>
      </c>
      <c r="D233" t="s">
        <v>63</v>
      </c>
      <c r="E233" t="s">
        <v>42</v>
      </c>
      <c r="F233" s="1">
        <v>43946</v>
      </c>
      <c r="G233" t="s">
        <v>47</v>
      </c>
      <c r="H233">
        <v>33161.938402998101</v>
      </c>
      <c r="I233" t="s">
        <v>18</v>
      </c>
      <c r="J233" s="1">
        <v>43949</v>
      </c>
      <c r="K233" t="s">
        <v>19</v>
      </c>
      <c r="L233" t="s">
        <v>27</v>
      </c>
      <c r="M233">
        <f>YEAR(Table2[[#This Row],[Date of Admission]])</f>
        <v>2020</v>
      </c>
    </row>
    <row r="234" spans="1:13" x14ac:dyDescent="0.2">
      <c r="A234" t="s">
        <v>279</v>
      </c>
      <c r="B234">
        <v>30</v>
      </c>
      <c r="C234" t="s">
        <v>14</v>
      </c>
      <c r="D234" t="s">
        <v>30</v>
      </c>
      <c r="E234" t="s">
        <v>16</v>
      </c>
      <c r="F234" s="1">
        <v>44429</v>
      </c>
      <c r="G234" t="s">
        <v>47</v>
      </c>
      <c r="H234">
        <v>2879.46053205424</v>
      </c>
      <c r="I234" t="s">
        <v>18</v>
      </c>
      <c r="J234" s="1">
        <v>44436</v>
      </c>
      <c r="K234" t="s">
        <v>26</v>
      </c>
      <c r="L234" t="s">
        <v>20</v>
      </c>
      <c r="M234">
        <f>YEAR(Table2[[#This Row],[Date of Admission]])</f>
        <v>2021</v>
      </c>
    </row>
    <row r="235" spans="1:13" x14ac:dyDescent="0.2">
      <c r="A235" t="s">
        <v>280</v>
      </c>
      <c r="B235">
        <v>22</v>
      </c>
      <c r="C235" t="s">
        <v>29</v>
      </c>
      <c r="D235" t="s">
        <v>34</v>
      </c>
      <c r="E235" t="s">
        <v>42</v>
      </c>
      <c r="F235" s="1">
        <v>44210</v>
      </c>
      <c r="G235" t="s">
        <v>31</v>
      </c>
      <c r="H235">
        <v>46492.861772948898</v>
      </c>
      <c r="I235" t="s">
        <v>36</v>
      </c>
      <c r="J235" s="1">
        <v>44223</v>
      </c>
      <c r="K235" t="s">
        <v>32</v>
      </c>
      <c r="L235" t="s">
        <v>27</v>
      </c>
      <c r="M235">
        <f>YEAR(Table2[[#This Row],[Date of Admission]])</f>
        <v>2021</v>
      </c>
    </row>
    <row r="236" spans="1:13" x14ac:dyDescent="0.2">
      <c r="A236" t="s">
        <v>281</v>
      </c>
      <c r="B236">
        <v>34</v>
      </c>
      <c r="C236" t="s">
        <v>14</v>
      </c>
      <c r="D236" t="s">
        <v>39</v>
      </c>
      <c r="E236" t="s">
        <v>52</v>
      </c>
      <c r="F236" s="1">
        <v>44086</v>
      </c>
      <c r="G236" t="s">
        <v>31</v>
      </c>
      <c r="H236">
        <v>5259.2730496477097</v>
      </c>
      <c r="I236" t="s">
        <v>36</v>
      </c>
      <c r="J236" s="1">
        <v>44100</v>
      </c>
      <c r="K236" t="s">
        <v>19</v>
      </c>
      <c r="L236" t="s">
        <v>37</v>
      </c>
      <c r="M236">
        <f>YEAR(Table2[[#This Row],[Date of Admission]])</f>
        <v>2020</v>
      </c>
    </row>
    <row r="237" spans="1:13" x14ac:dyDescent="0.2">
      <c r="A237" t="s">
        <v>207</v>
      </c>
      <c r="B237">
        <v>20</v>
      </c>
      <c r="C237" t="s">
        <v>14</v>
      </c>
      <c r="D237" t="s">
        <v>39</v>
      </c>
      <c r="E237" t="s">
        <v>59</v>
      </c>
      <c r="F237" s="1">
        <v>43917</v>
      </c>
      <c r="G237" t="s">
        <v>43</v>
      </c>
      <c r="H237">
        <v>2784.5824899783502</v>
      </c>
      <c r="I237" t="s">
        <v>25</v>
      </c>
      <c r="J237" s="1">
        <v>43937</v>
      </c>
      <c r="K237" t="s">
        <v>32</v>
      </c>
      <c r="L237" t="s">
        <v>27</v>
      </c>
      <c r="M237">
        <f>YEAR(Table2[[#This Row],[Date of Admission]])</f>
        <v>2020</v>
      </c>
    </row>
    <row r="238" spans="1:13" x14ac:dyDescent="0.2">
      <c r="A238" t="s">
        <v>282</v>
      </c>
      <c r="B238">
        <v>37</v>
      </c>
      <c r="C238" t="s">
        <v>29</v>
      </c>
      <c r="D238" t="s">
        <v>30</v>
      </c>
      <c r="E238" t="s">
        <v>59</v>
      </c>
      <c r="F238" s="1">
        <v>43672</v>
      </c>
      <c r="G238" t="s">
        <v>31</v>
      </c>
      <c r="H238">
        <v>13418.2163679355</v>
      </c>
      <c r="I238" t="s">
        <v>25</v>
      </c>
      <c r="J238" s="1">
        <v>43694</v>
      </c>
      <c r="K238" t="s">
        <v>40</v>
      </c>
      <c r="L238" t="s">
        <v>37</v>
      </c>
      <c r="M238">
        <f>YEAR(Table2[[#This Row],[Date of Admission]])</f>
        <v>2019</v>
      </c>
    </row>
    <row r="239" spans="1:13" x14ac:dyDescent="0.2">
      <c r="A239" t="s">
        <v>283</v>
      </c>
      <c r="B239">
        <v>25</v>
      </c>
      <c r="C239" t="s">
        <v>29</v>
      </c>
      <c r="D239" t="s">
        <v>22</v>
      </c>
      <c r="E239" t="s">
        <v>16</v>
      </c>
      <c r="F239" s="1">
        <v>45267</v>
      </c>
      <c r="G239" t="s">
        <v>17</v>
      </c>
      <c r="H239">
        <v>36990.455775325303</v>
      </c>
      <c r="I239" t="s">
        <v>18</v>
      </c>
      <c r="J239" s="1">
        <v>45274</v>
      </c>
      <c r="K239" t="s">
        <v>32</v>
      </c>
      <c r="L239" t="s">
        <v>20</v>
      </c>
      <c r="M239">
        <f>YEAR(Table2[[#This Row],[Date of Admission]])</f>
        <v>2023</v>
      </c>
    </row>
    <row r="240" spans="1:13" x14ac:dyDescent="0.2">
      <c r="A240" t="s">
        <v>284</v>
      </c>
      <c r="B240">
        <v>45</v>
      </c>
      <c r="C240" t="s">
        <v>29</v>
      </c>
      <c r="D240" t="s">
        <v>15</v>
      </c>
      <c r="E240" t="s">
        <v>16</v>
      </c>
      <c r="F240" s="1">
        <v>44358</v>
      </c>
      <c r="G240" t="s">
        <v>31</v>
      </c>
      <c r="H240">
        <v>43567.144157970899</v>
      </c>
      <c r="I240" t="s">
        <v>18</v>
      </c>
      <c r="J240" s="1">
        <v>44380</v>
      </c>
      <c r="K240" t="s">
        <v>19</v>
      </c>
      <c r="L240" t="s">
        <v>20</v>
      </c>
      <c r="M240">
        <f>YEAR(Table2[[#This Row],[Date of Admission]])</f>
        <v>2021</v>
      </c>
    </row>
    <row r="241" spans="1:13" x14ac:dyDescent="0.2">
      <c r="A241" t="s">
        <v>285</v>
      </c>
      <c r="B241">
        <v>18</v>
      </c>
      <c r="C241" t="s">
        <v>14</v>
      </c>
      <c r="D241" t="s">
        <v>71</v>
      </c>
      <c r="E241" t="s">
        <v>35</v>
      </c>
      <c r="F241" s="1">
        <v>44603</v>
      </c>
      <c r="G241" t="s">
        <v>43</v>
      </c>
      <c r="H241">
        <v>35570.076557096203</v>
      </c>
      <c r="I241" t="s">
        <v>25</v>
      </c>
      <c r="J241" s="1">
        <v>44615</v>
      </c>
      <c r="K241" t="s">
        <v>26</v>
      </c>
      <c r="L241" t="s">
        <v>27</v>
      </c>
      <c r="M241">
        <f>YEAR(Table2[[#This Row],[Date of Admission]])</f>
        <v>2022</v>
      </c>
    </row>
    <row r="242" spans="1:13" x14ac:dyDescent="0.2">
      <c r="A242" t="s">
        <v>286</v>
      </c>
      <c r="B242">
        <v>56</v>
      </c>
      <c r="C242" t="s">
        <v>14</v>
      </c>
      <c r="D242" t="s">
        <v>34</v>
      </c>
      <c r="E242" t="s">
        <v>59</v>
      </c>
      <c r="F242" s="1">
        <v>44086</v>
      </c>
      <c r="G242" t="s">
        <v>17</v>
      </c>
      <c r="H242">
        <v>6848.1304271965801</v>
      </c>
      <c r="I242" t="s">
        <v>25</v>
      </c>
      <c r="J242" s="1">
        <v>44096</v>
      </c>
      <c r="K242" t="s">
        <v>32</v>
      </c>
      <c r="L242" t="s">
        <v>20</v>
      </c>
      <c r="M242">
        <f>YEAR(Table2[[#This Row],[Date of Admission]])</f>
        <v>2020</v>
      </c>
    </row>
    <row r="243" spans="1:13" x14ac:dyDescent="0.2">
      <c r="A243" t="s">
        <v>287</v>
      </c>
      <c r="B243">
        <v>44</v>
      </c>
      <c r="C243" t="s">
        <v>14</v>
      </c>
      <c r="D243" t="s">
        <v>45</v>
      </c>
      <c r="E243" t="s">
        <v>42</v>
      </c>
      <c r="F243" s="1">
        <v>43976</v>
      </c>
      <c r="G243" t="s">
        <v>31</v>
      </c>
      <c r="H243">
        <v>4677.5958465044396</v>
      </c>
      <c r="I243" t="s">
        <v>25</v>
      </c>
      <c r="J243" s="1">
        <v>43987</v>
      </c>
      <c r="K243" t="s">
        <v>53</v>
      </c>
      <c r="L243" t="s">
        <v>27</v>
      </c>
      <c r="M243">
        <f>YEAR(Table2[[#This Row],[Date of Admission]])</f>
        <v>2020</v>
      </c>
    </row>
    <row r="244" spans="1:13" x14ac:dyDescent="0.2">
      <c r="A244" t="s">
        <v>288</v>
      </c>
      <c r="B244">
        <v>34</v>
      </c>
      <c r="C244" t="s">
        <v>14</v>
      </c>
      <c r="D244" t="s">
        <v>34</v>
      </c>
      <c r="E244" t="s">
        <v>52</v>
      </c>
      <c r="F244" s="1">
        <v>45194</v>
      </c>
      <c r="G244" t="s">
        <v>31</v>
      </c>
      <c r="H244">
        <v>35157.170267322799</v>
      </c>
      <c r="I244" t="s">
        <v>36</v>
      </c>
      <c r="J244" s="1">
        <v>45220</v>
      </c>
      <c r="K244" t="s">
        <v>40</v>
      </c>
      <c r="L244" t="s">
        <v>20</v>
      </c>
      <c r="M244">
        <f>YEAR(Table2[[#This Row],[Date of Admission]])</f>
        <v>2023</v>
      </c>
    </row>
    <row r="245" spans="1:13" x14ac:dyDescent="0.2">
      <c r="A245" t="s">
        <v>289</v>
      </c>
      <c r="B245">
        <v>26</v>
      </c>
      <c r="C245" t="s">
        <v>14</v>
      </c>
      <c r="D245" t="s">
        <v>63</v>
      </c>
      <c r="E245" t="s">
        <v>23</v>
      </c>
      <c r="F245" s="1">
        <v>44734</v>
      </c>
      <c r="G245" t="s">
        <v>43</v>
      </c>
      <c r="H245">
        <v>34719.173850176398</v>
      </c>
      <c r="I245" t="s">
        <v>36</v>
      </c>
      <c r="J245" s="1">
        <v>44762</v>
      </c>
      <c r="K245" t="s">
        <v>53</v>
      </c>
      <c r="L245" t="s">
        <v>20</v>
      </c>
      <c r="M245">
        <f>YEAR(Table2[[#This Row],[Date of Admission]])</f>
        <v>2022</v>
      </c>
    </row>
    <row r="246" spans="1:13" x14ac:dyDescent="0.2">
      <c r="A246" t="s">
        <v>290</v>
      </c>
      <c r="B246">
        <v>32</v>
      </c>
      <c r="C246" t="s">
        <v>14</v>
      </c>
      <c r="D246" t="s">
        <v>34</v>
      </c>
      <c r="E246" t="s">
        <v>23</v>
      </c>
      <c r="F246" s="1">
        <v>43842</v>
      </c>
      <c r="G246" t="s">
        <v>31</v>
      </c>
      <c r="H246">
        <v>23775.449006940398</v>
      </c>
      <c r="I246" t="s">
        <v>36</v>
      </c>
      <c r="J246" s="1">
        <v>43849</v>
      </c>
      <c r="K246" t="s">
        <v>32</v>
      </c>
      <c r="L246" t="s">
        <v>20</v>
      </c>
      <c r="M246">
        <f>YEAR(Table2[[#This Row],[Date of Admission]])</f>
        <v>2020</v>
      </c>
    </row>
    <row r="247" spans="1:13" x14ac:dyDescent="0.2">
      <c r="A247" t="s">
        <v>291</v>
      </c>
      <c r="B247">
        <v>64</v>
      </c>
      <c r="C247" t="s">
        <v>14</v>
      </c>
      <c r="D247" t="s">
        <v>63</v>
      </c>
      <c r="E247" t="s">
        <v>59</v>
      </c>
      <c r="F247" s="1">
        <v>44771</v>
      </c>
      <c r="G247" t="s">
        <v>43</v>
      </c>
      <c r="H247">
        <v>17732.469366062702</v>
      </c>
      <c r="I247" t="s">
        <v>18</v>
      </c>
      <c r="J247" s="1">
        <v>44780</v>
      </c>
      <c r="K247" t="s">
        <v>26</v>
      </c>
      <c r="L247" t="s">
        <v>20</v>
      </c>
      <c r="M247">
        <f>YEAR(Table2[[#This Row],[Date of Admission]])</f>
        <v>2022</v>
      </c>
    </row>
    <row r="248" spans="1:13" x14ac:dyDescent="0.2">
      <c r="A248" t="s">
        <v>292</v>
      </c>
      <c r="B248">
        <v>80</v>
      </c>
      <c r="C248" t="s">
        <v>14</v>
      </c>
      <c r="D248" t="s">
        <v>30</v>
      </c>
      <c r="E248" t="s">
        <v>42</v>
      </c>
      <c r="F248" s="1">
        <v>44977</v>
      </c>
      <c r="G248" t="s">
        <v>47</v>
      </c>
      <c r="H248">
        <v>3845.3974956264701</v>
      </c>
      <c r="I248" t="s">
        <v>25</v>
      </c>
      <c r="J248" s="1">
        <v>44995</v>
      </c>
      <c r="K248" t="s">
        <v>40</v>
      </c>
      <c r="L248" t="s">
        <v>20</v>
      </c>
      <c r="M248">
        <f>YEAR(Table2[[#This Row],[Date of Admission]])</f>
        <v>2023</v>
      </c>
    </row>
    <row r="249" spans="1:13" x14ac:dyDescent="0.2">
      <c r="A249" t="s">
        <v>293</v>
      </c>
      <c r="B249">
        <v>80</v>
      </c>
      <c r="C249" t="s">
        <v>14</v>
      </c>
      <c r="D249" t="s">
        <v>30</v>
      </c>
      <c r="E249" t="s">
        <v>16</v>
      </c>
      <c r="F249" s="1">
        <v>44391</v>
      </c>
      <c r="G249" t="s">
        <v>17</v>
      </c>
      <c r="H249">
        <v>22401.550353437498</v>
      </c>
      <c r="I249" t="s">
        <v>36</v>
      </c>
      <c r="J249" s="1">
        <v>44401</v>
      </c>
      <c r="K249" t="s">
        <v>53</v>
      </c>
      <c r="L249" t="s">
        <v>27</v>
      </c>
      <c r="M249">
        <f>YEAR(Table2[[#This Row],[Date of Admission]])</f>
        <v>2021</v>
      </c>
    </row>
    <row r="250" spans="1:13" x14ac:dyDescent="0.2">
      <c r="A250" t="s">
        <v>294</v>
      </c>
      <c r="B250">
        <v>37</v>
      </c>
      <c r="C250" t="s">
        <v>29</v>
      </c>
      <c r="D250" t="s">
        <v>34</v>
      </c>
      <c r="E250" t="s">
        <v>52</v>
      </c>
      <c r="F250" s="1">
        <v>45399</v>
      </c>
      <c r="G250" t="s">
        <v>43</v>
      </c>
      <c r="H250">
        <v>23340.304719213502</v>
      </c>
      <c r="I250" t="s">
        <v>18</v>
      </c>
      <c r="J250" s="1">
        <v>45419</v>
      </c>
      <c r="K250" t="s">
        <v>32</v>
      </c>
      <c r="L250" t="s">
        <v>20</v>
      </c>
      <c r="M250">
        <f>YEAR(Table2[[#This Row],[Date of Admission]])</f>
        <v>2024</v>
      </c>
    </row>
    <row r="251" spans="1:13" x14ac:dyDescent="0.2">
      <c r="A251" t="s">
        <v>295</v>
      </c>
      <c r="B251">
        <v>52</v>
      </c>
      <c r="C251" t="s">
        <v>29</v>
      </c>
      <c r="D251" t="s">
        <v>22</v>
      </c>
      <c r="E251" t="s">
        <v>52</v>
      </c>
      <c r="F251" s="1">
        <v>44231</v>
      </c>
      <c r="G251" t="s">
        <v>17</v>
      </c>
      <c r="H251">
        <v>3042.4091835970198</v>
      </c>
      <c r="I251" t="s">
        <v>18</v>
      </c>
      <c r="J251" s="1">
        <v>44255</v>
      </c>
      <c r="K251" t="s">
        <v>32</v>
      </c>
      <c r="L251" t="s">
        <v>37</v>
      </c>
      <c r="M251">
        <f>YEAR(Table2[[#This Row],[Date of Admission]])</f>
        <v>2021</v>
      </c>
    </row>
    <row r="252" spans="1:13" x14ac:dyDescent="0.2">
      <c r="A252" t="s">
        <v>296</v>
      </c>
      <c r="B252">
        <v>83</v>
      </c>
      <c r="C252" t="s">
        <v>29</v>
      </c>
      <c r="D252" t="s">
        <v>71</v>
      </c>
      <c r="E252" t="s">
        <v>35</v>
      </c>
      <c r="F252" s="1">
        <v>44441</v>
      </c>
      <c r="G252" t="s">
        <v>17</v>
      </c>
      <c r="H252">
        <v>41817.679182506399</v>
      </c>
      <c r="I252" t="s">
        <v>18</v>
      </c>
      <c r="J252" s="1">
        <v>44458</v>
      </c>
      <c r="K252" t="s">
        <v>19</v>
      </c>
      <c r="L252" t="s">
        <v>27</v>
      </c>
      <c r="M252">
        <f>YEAR(Table2[[#This Row],[Date of Admission]])</f>
        <v>2021</v>
      </c>
    </row>
    <row r="253" spans="1:13" x14ac:dyDescent="0.2">
      <c r="A253" t="s">
        <v>297</v>
      </c>
      <c r="B253">
        <v>28</v>
      </c>
      <c r="C253" t="s">
        <v>29</v>
      </c>
      <c r="D253" t="s">
        <v>15</v>
      </c>
      <c r="E253" t="s">
        <v>59</v>
      </c>
      <c r="F253" s="1">
        <v>44814</v>
      </c>
      <c r="G253" t="s">
        <v>47</v>
      </c>
      <c r="H253">
        <v>49700.324206552097</v>
      </c>
      <c r="I253" t="s">
        <v>36</v>
      </c>
      <c r="J253" s="1">
        <v>44835</v>
      </c>
      <c r="K253" t="s">
        <v>19</v>
      </c>
      <c r="L253" t="s">
        <v>37</v>
      </c>
      <c r="M253">
        <f>YEAR(Table2[[#This Row],[Date of Admission]])</f>
        <v>2022</v>
      </c>
    </row>
    <row r="254" spans="1:13" x14ac:dyDescent="0.2">
      <c r="A254" t="s">
        <v>298</v>
      </c>
      <c r="B254">
        <v>63</v>
      </c>
      <c r="C254" t="s">
        <v>14</v>
      </c>
      <c r="D254" t="s">
        <v>22</v>
      </c>
      <c r="E254" t="s">
        <v>35</v>
      </c>
      <c r="F254" s="1">
        <v>44890</v>
      </c>
      <c r="G254" t="s">
        <v>17</v>
      </c>
      <c r="H254">
        <v>45157.471124838899</v>
      </c>
      <c r="I254" t="s">
        <v>36</v>
      </c>
      <c r="J254" s="1">
        <v>44915</v>
      </c>
      <c r="K254" t="s">
        <v>53</v>
      </c>
      <c r="L254" t="s">
        <v>20</v>
      </c>
      <c r="M254">
        <f>YEAR(Table2[[#This Row],[Date of Admission]])</f>
        <v>2022</v>
      </c>
    </row>
    <row r="255" spans="1:13" x14ac:dyDescent="0.2">
      <c r="A255" t="s">
        <v>299</v>
      </c>
      <c r="B255">
        <v>85</v>
      </c>
      <c r="C255" t="s">
        <v>14</v>
      </c>
      <c r="D255" t="s">
        <v>71</v>
      </c>
      <c r="E255" t="s">
        <v>42</v>
      </c>
      <c r="F255" s="1">
        <v>45142</v>
      </c>
      <c r="G255" t="s">
        <v>47</v>
      </c>
      <c r="H255">
        <v>18832.100342779599</v>
      </c>
      <c r="I255" t="s">
        <v>25</v>
      </c>
      <c r="J255" s="1">
        <v>45150</v>
      </c>
      <c r="K255" t="s">
        <v>26</v>
      </c>
      <c r="L255" t="s">
        <v>37</v>
      </c>
      <c r="M255">
        <f>YEAR(Table2[[#This Row],[Date of Admission]])</f>
        <v>2023</v>
      </c>
    </row>
    <row r="256" spans="1:13" x14ac:dyDescent="0.2">
      <c r="A256" t="s">
        <v>300</v>
      </c>
      <c r="B256">
        <v>37</v>
      </c>
      <c r="C256" t="s">
        <v>14</v>
      </c>
      <c r="D256" t="s">
        <v>71</v>
      </c>
      <c r="E256" t="s">
        <v>52</v>
      </c>
      <c r="F256" s="1">
        <v>44155</v>
      </c>
      <c r="G256" t="s">
        <v>31</v>
      </c>
      <c r="H256">
        <v>31732.130077881899</v>
      </c>
      <c r="I256" t="s">
        <v>36</v>
      </c>
      <c r="J256" s="1">
        <v>44171</v>
      </c>
      <c r="K256" t="s">
        <v>53</v>
      </c>
      <c r="L256" t="s">
        <v>20</v>
      </c>
      <c r="M256">
        <f>YEAR(Table2[[#This Row],[Date of Admission]])</f>
        <v>2020</v>
      </c>
    </row>
    <row r="257" spans="1:13" x14ac:dyDescent="0.2">
      <c r="A257" t="s">
        <v>301</v>
      </c>
      <c r="B257">
        <v>22</v>
      </c>
      <c r="C257" t="s">
        <v>14</v>
      </c>
      <c r="D257" t="s">
        <v>45</v>
      </c>
      <c r="E257" t="s">
        <v>35</v>
      </c>
      <c r="F257" s="1">
        <v>43761</v>
      </c>
      <c r="G257" t="s">
        <v>17</v>
      </c>
      <c r="H257">
        <v>42214.979697714203</v>
      </c>
      <c r="I257" t="s">
        <v>18</v>
      </c>
      <c r="J257" s="1">
        <v>43778</v>
      </c>
      <c r="K257" t="s">
        <v>19</v>
      </c>
      <c r="L257" t="s">
        <v>37</v>
      </c>
      <c r="M257">
        <f>YEAR(Table2[[#This Row],[Date of Admission]])</f>
        <v>2019</v>
      </c>
    </row>
    <row r="258" spans="1:13" x14ac:dyDescent="0.2">
      <c r="A258" t="s">
        <v>302</v>
      </c>
      <c r="B258">
        <v>80</v>
      </c>
      <c r="C258" t="s">
        <v>29</v>
      </c>
      <c r="D258" t="s">
        <v>39</v>
      </c>
      <c r="E258" t="s">
        <v>59</v>
      </c>
      <c r="F258" s="1">
        <v>44121</v>
      </c>
      <c r="G258" t="s">
        <v>24</v>
      </c>
      <c r="H258">
        <v>12400.2050988106</v>
      </c>
      <c r="I258" t="s">
        <v>36</v>
      </c>
      <c r="J258" s="1">
        <v>44133</v>
      </c>
      <c r="K258" t="s">
        <v>32</v>
      </c>
      <c r="L258" t="s">
        <v>20</v>
      </c>
      <c r="M258">
        <f>YEAR(Table2[[#This Row],[Date of Admission]])</f>
        <v>2020</v>
      </c>
    </row>
    <row r="259" spans="1:13" x14ac:dyDescent="0.2">
      <c r="A259" t="s">
        <v>303</v>
      </c>
      <c r="B259">
        <v>48</v>
      </c>
      <c r="C259" t="s">
        <v>29</v>
      </c>
      <c r="D259" t="s">
        <v>34</v>
      </c>
      <c r="E259" t="s">
        <v>59</v>
      </c>
      <c r="F259" s="1">
        <v>44922</v>
      </c>
      <c r="G259" t="s">
        <v>17</v>
      </c>
      <c r="H259">
        <v>1133.58647605806</v>
      </c>
      <c r="I259" t="s">
        <v>18</v>
      </c>
      <c r="J259" s="1">
        <v>44926</v>
      </c>
      <c r="K259" t="s">
        <v>40</v>
      </c>
      <c r="L259" t="s">
        <v>37</v>
      </c>
      <c r="M259">
        <f>YEAR(Table2[[#This Row],[Date of Admission]])</f>
        <v>2022</v>
      </c>
    </row>
    <row r="260" spans="1:13" x14ac:dyDescent="0.2">
      <c r="A260" t="s">
        <v>304</v>
      </c>
      <c r="B260">
        <v>29</v>
      </c>
      <c r="C260" t="s">
        <v>14</v>
      </c>
      <c r="D260" t="s">
        <v>63</v>
      </c>
      <c r="E260" t="s">
        <v>23</v>
      </c>
      <c r="F260" s="1">
        <v>45093</v>
      </c>
      <c r="G260" t="s">
        <v>17</v>
      </c>
      <c r="H260">
        <v>24340.322856965598</v>
      </c>
      <c r="I260" t="s">
        <v>25</v>
      </c>
      <c r="J260" s="1">
        <v>45121</v>
      </c>
      <c r="K260" t="s">
        <v>32</v>
      </c>
      <c r="L260" t="s">
        <v>27</v>
      </c>
      <c r="M260">
        <f>YEAR(Table2[[#This Row],[Date of Admission]])</f>
        <v>2023</v>
      </c>
    </row>
    <row r="261" spans="1:13" x14ac:dyDescent="0.2">
      <c r="A261" t="s">
        <v>305</v>
      </c>
      <c r="B261">
        <v>76</v>
      </c>
      <c r="C261" t="s">
        <v>14</v>
      </c>
      <c r="D261" t="s">
        <v>22</v>
      </c>
      <c r="E261" t="s">
        <v>59</v>
      </c>
      <c r="F261" s="1">
        <v>45236</v>
      </c>
      <c r="G261" t="s">
        <v>17</v>
      </c>
      <c r="H261">
        <v>39390.935547084897</v>
      </c>
      <c r="I261" t="s">
        <v>36</v>
      </c>
      <c r="J261" s="1">
        <v>45251</v>
      </c>
      <c r="K261" t="s">
        <v>32</v>
      </c>
      <c r="L261" t="s">
        <v>37</v>
      </c>
      <c r="M261">
        <f>YEAR(Table2[[#This Row],[Date of Admission]])</f>
        <v>2023</v>
      </c>
    </row>
    <row r="262" spans="1:13" x14ac:dyDescent="0.2">
      <c r="A262" t="s">
        <v>306</v>
      </c>
      <c r="B262">
        <v>23</v>
      </c>
      <c r="C262" t="s">
        <v>29</v>
      </c>
      <c r="D262" t="s">
        <v>22</v>
      </c>
      <c r="E262" t="s">
        <v>52</v>
      </c>
      <c r="F262" s="1">
        <v>45286</v>
      </c>
      <c r="G262" t="s">
        <v>24</v>
      </c>
      <c r="H262">
        <v>17012.507402227198</v>
      </c>
      <c r="I262" t="s">
        <v>36</v>
      </c>
      <c r="J262" s="1">
        <v>45313</v>
      </c>
      <c r="K262" t="s">
        <v>40</v>
      </c>
      <c r="L262" t="s">
        <v>20</v>
      </c>
      <c r="M262">
        <f>YEAR(Table2[[#This Row],[Date of Admission]])</f>
        <v>2023</v>
      </c>
    </row>
    <row r="263" spans="1:13" x14ac:dyDescent="0.2">
      <c r="A263" t="s">
        <v>307</v>
      </c>
      <c r="B263">
        <v>33</v>
      </c>
      <c r="C263" t="s">
        <v>14</v>
      </c>
      <c r="D263" t="s">
        <v>15</v>
      </c>
      <c r="E263" t="s">
        <v>42</v>
      </c>
      <c r="F263" s="1">
        <v>44967</v>
      </c>
      <c r="G263" t="s">
        <v>47</v>
      </c>
      <c r="H263">
        <v>14493.6139032184</v>
      </c>
      <c r="I263" t="s">
        <v>25</v>
      </c>
      <c r="J263" s="1">
        <v>44990</v>
      </c>
      <c r="K263" t="s">
        <v>40</v>
      </c>
      <c r="L263" t="s">
        <v>27</v>
      </c>
      <c r="M263">
        <f>YEAR(Table2[[#This Row],[Date of Admission]])</f>
        <v>2023</v>
      </c>
    </row>
    <row r="264" spans="1:13" x14ac:dyDescent="0.2">
      <c r="A264" t="s">
        <v>308</v>
      </c>
      <c r="B264">
        <v>34</v>
      </c>
      <c r="C264" t="s">
        <v>14</v>
      </c>
      <c r="D264" t="s">
        <v>34</v>
      </c>
      <c r="E264" t="s">
        <v>52</v>
      </c>
      <c r="F264" s="1">
        <v>44013</v>
      </c>
      <c r="G264" t="s">
        <v>31</v>
      </c>
      <c r="H264">
        <v>32679.2685926962</v>
      </c>
      <c r="I264" t="s">
        <v>25</v>
      </c>
      <c r="J264" s="1">
        <v>44022</v>
      </c>
      <c r="K264" t="s">
        <v>19</v>
      </c>
      <c r="L264" t="s">
        <v>20</v>
      </c>
      <c r="M264">
        <f>YEAR(Table2[[#This Row],[Date of Admission]])</f>
        <v>2020</v>
      </c>
    </row>
    <row r="265" spans="1:13" x14ac:dyDescent="0.2">
      <c r="A265" t="s">
        <v>309</v>
      </c>
      <c r="B265">
        <v>44</v>
      </c>
      <c r="C265" t="s">
        <v>29</v>
      </c>
      <c r="D265" t="s">
        <v>39</v>
      </c>
      <c r="E265" t="s">
        <v>23</v>
      </c>
      <c r="F265" s="1">
        <v>45190</v>
      </c>
      <c r="G265" t="s">
        <v>43</v>
      </c>
      <c r="H265">
        <v>6232.0017868470904</v>
      </c>
      <c r="I265" t="s">
        <v>25</v>
      </c>
      <c r="J265" s="1">
        <v>45194</v>
      </c>
      <c r="K265" t="s">
        <v>26</v>
      </c>
      <c r="L265" t="s">
        <v>27</v>
      </c>
      <c r="M265">
        <f>YEAR(Table2[[#This Row],[Date of Admission]])</f>
        <v>2023</v>
      </c>
    </row>
    <row r="266" spans="1:13" x14ac:dyDescent="0.2">
      <c r="A266" t="s">
        <v>310</v>
      </c>
      <c r="B266">
        <v>84</v>
      </c>
      <c r="C266" t="s">
        <v>14</v>
      </c>
      <c r="D266" t="s">
        <v>63</v>
      </c>
      <c r="E266" t="s">
        <v>35</v>
      </c>
      <c r="F266" s="1">
        <v>44160</v>
      </c>
      <c r="G266" t="s">
        <v>47</v>
      </c>
      <c r="H266">
        <v>22982.252121727601</v>
      </c>
      <c r="I266" t="s">
        <v>18</v>
      </c>
      <c r="J266" s="1">
        <v>44167</v>
      </c>
      <c r="K266" t="s">
        <v>26</v>
      </c>
      <c r="L266" t="s">
        <v>37</v>
      </c>
      <c r="M266">
        <f>YEAR(Table2[[#This Row],[Date of Admission]])</f>
        <v>2020</v>
      </c>
    </row>
    <row r="267" spans="1:13" x14ac:dyDescent="0.2">
      <c r="A267" t="s">
        <v>311</v>
      </c>
      <c r="B267">
        <v>25</v>
      </c>
      <c r="C267" t="s">
        <v>29</v>
      </c>
      <c r="D267" t="s">
        <v>22</v>
      </c>
      <c r="E267" t="s">
        <v>16</v>
      </c>
      <c r="F267" s="1">
        <v>44022</v>
      </c>
      <c r="G267" t="s">
        <v>31</v>
      </c>
      <c r="H267">
        <v>28213.8154666384</v>
      </c>
      <c r="I267" t="s">
        <v>18</v>
      </c>
      <c r="J267" s="1">
        <v>44030</v>
      </c>
      <c r="K267" t="s">
        <v>32</v>
      </c>
      <c r="L267" t="s">
        <v>37</v>
      </c>
      <c r="M267">
        <f>YEAR(Table2[[#This Row],[Date of Admission]])</f>
        <v>2020</v>
      </c>
    </row>
    <row r="268" spans="1:13" x14ac:dyDescent="0.2">
      <c r="A268" t="s">
        <v>312</v>
      </c>
      <c r="B268">
        <v>42</v>
      </c>
      <c r="C268" t="s">
        <v>14</v>
      </c>
      <c r="D268" t="s">
        <v>15</v>
      </c>
      <c r="E268" t="s">
        <v>59</v>
      </c>
      <c r="F268" s="1">
        <v>44919</v>
      </c>
      <c r="G268" t="s">
        <v>47</v>
      </c>
      <c r="H268">
        <v>10645.5658530089</v>
      </c>
      <c r="I268" t="s">
        <v>25</v>
      </c>
      <c r="J268" s="1">
        <v>44932</v>
      </c>
      <c r="K268" t="s">
        <v>26</v>
      </c>
      <c r="L268" t="s">
        <v>20</v>
      </c>
      <c r="M268">
        <f>YEAR(Table2[[#This Row],[Date of Admission]])</f>
        <v>2022</v>
      </c>
    </row>
    <row r="269" spans="1:13" x14ac:dyDescent="0.2">
      <c r="A269" t="s">
        <v>313</v>
      </c>
      <c r="B269">
        <v>57</v>
      </c>
      <c r="C269" t="s">
        <v>14</v>
      </c>
      <c r="D269" t="s">
        <v>63</v>
      </c>
      <c r="E269" t="s">
        <v>59</v>
      </c>
      <c r="F269" s="1">
        <v>43743</v>
      </c>
      <c r="G269" t="s">
        <v>17</v>
      </c>
      <c r="H269">
        <v>35041.030967603299</v>
      </c>
      <c r="I269" t="s">
        <v>36</v>
      </c>
      <c r="J269" s="1">
        <v>43758</v>
      </c>
      <c r="K269" t="s">
        <v>53</v>
      </c>
      <c r="L269" t="s">
        <v>20</v>
      </c>
      <c r="M269">
        <f>YEAR(Table2[[#This Row],[Date of Admission]])</f>
        <v>2019</v>
      </c>
    </row>
    <row r="270" spans="1:13" x14ac:dyDescent="0.2">
      <c r="A270" t="s">
        <v>314</v>
      </c>
      <c r="B270">
        <v>75</v>
      </c>
      <c r="C270" t="s">
        <v>29</v>
      </c>
      <c r="D270" t="s">
        <v>71</v>
      </c>
      <c r="E270" t="s">
        <v>59</v>
      </c>
      <c r="F270" s="1">
        <v>44633</v>
      </c>
      <c r="G270" t="s">
        <v>47</v>
      </c>
      <c r="H270">
        <v>45980.292293796003</v>
      </c>
      <c r="I270" t="s">
        <v>25</v>
      </c>
      <c r="J270" s="1">
        <v>44646</v>
      </c>
      <c r="K270" t="s">
        <v>32</v>
      </c>
      <c r="L270" t="s">
        <v>27</v>
      </c>
      <c r="M270">
        <f>YEAR(Table2[[#This Row],[Date of Admission]])</f>
        <v>2022</v>
      </c>
    </row>
    <row r="271" spans="1:13" x14ac:dyDescent="0.2">
      <c r="A271" t="s">
        <v>315</v>
      </c>
      <c r="B271">
        <v>24</v>
      </c>
      <c r="C271" t="s">
        <v>29</v>
      </c>
      <c r="D271" t="s">
        <v>39</v>
      </c>
      <c r="E271" t="s">
        <v>23</v>
      </c>
      <c r="F271" s="1">
        <v>43966</v>
      </c>
      <c r="G271" t="s">
        <v>43</v>
      </c>
      <c r="H271">
        <v>25163.822483831202</v>
      </c>
      <c r="I271" t="s">
        <v>36</v>
      </c>
      <c r="J271" s="1">
        <v>43992</v>
      </c>
      <c r="K271" t="s">
        <v>26</v>
      </c>
      <c r="L271" t="s">
        <v>20</v>
      </c>
      <c r="M271">
        <f>YEAR(Table2[[#This Row],[Date of Admission]])</f>
        <v>2020</v>
      </c>
    </row>
    <row r="272" spans="1:13" x14ac:dyDescent="0.2">
      <c r="A272" t="s">
        <v>316</v>
      </c>
      <c r="B272">
        <v>43</v>
      </c>
      <c r="C272" t="s">
        <v>29</v>
      </c>
      <c r="D272" t="s">
        <v>45</v>
      </c>
      <c r="E272" t="s">
        <v>42</v>
      </c>
      <c r="F272" s="1">
        <v>44167</v>
      </c>
      <c r="G272" t="s">
        <v>43</v>
      </c>
      <c r="H272">
        <v>43670.378191668897</v>
      </c>
      <c r="I272" t="s">
        <v>36</v>
      </c>
      <c r="J272" s="1">
        <v>44188</v>
      </c>
      <c r="K272" t="s">
        <v>32</v>
      </c>
      <c r="L272" t="s">
        <v>20</v>
      </c>
      <c r="M272">
        <f>YEAR(Table2[[#This Row],[Date of Admission]])</f>
        <v>2020</v>
      </c>
    </row>
    <row r="273" spans="1:13" x14ac:dyDescent="0.2">
      <c r="A273" t="s">
        <v>317</v>
      </c>
      <c r="B273">
        <v>22</v>
      </c>
      <c r="C273" t="s">
        <v>14</v>
      </c>
      <c r="D273" t="s">
        <v>39</v>
      </c>
      <c r="E273" t="s">
        <v>42</v>
      </c>
      <c r="F273" s="1">
        <v>45299</v>
      </c>
      <c r="G273" t="s">
        <v>43</v>
      </c>
      <c r="H273">
        <v>33706.597670683499</v>
      </c>
      <c r="I273" t="s">
        <v>25</v>
      </c>
      <c r="J273" s="1">
        <v>45306</v>
      </c>
      <c r="K273" t="s">
        <v>32</v>
      </c>
      <c r="L273" t="s">
        <v>27</v>
      </c>
      <c r="M273">
        <f>YEAR(Table2[[#This Row],[Date of Admission]])</f>
        <v>2024</v>
      </c>
    </row>
    <row r="274" spans="1:13" x14ac:dyDescent="0.2">
      <c r="A274" t="s">
        <v>224</v>
      </c>
      <c r="B274">
        <v>64</v>
      </c>
      <c r="C274" t="s">
        <v>29</v>
      </c>
      <c r="D274" t="s">
        <v>45</v>
      </c>
      <c r="E274" t="s">
        <v>59</v>
      </c>
      <c r="F274" s="1">
        <v>43693</v>
      </c>
      <c r="G274" t="s">
        <v>24</v>
      </c>
      <c r="H274">
        <v>5549.7854357921997</v>
      </c>
      <c r="I274" t="s">
        <v>25</v>
      </c>
      <c r="J274" s="1">
        <v>43714</v>
      </c>
      <c r="K274" t="s">
        <v>26</v>
      </c>
      <c r="L274" t="s">
        <v>27</v>
      </c>
      <c r="M274">
        <f>YEAR(Table2[[#This Row],[Date of Admission]])</f>
        <v>2019</v>
      </c>
    </row>
    <row r="275" spans="1:13" x14ac:dyDescent="0.2">
      <c r="A275" t="s">
        <v>318</v>
      </c>
      <c r="B275">
        <v>66</v>
      </c>
      <c r="C275" t="s">
        <v>29</v>
      </c>
      <c r="D275" t="s">
        <v>39</v>
      </c>
      <c r="E275" t="s">
        <v>59</v>
      </c>
      <c r="F275" s="1">
        <v>45008</v>
      </c>
      <c r="G275" t="s">
        <v>17</v>
      </c>
      <c r="H275">
        <v>49078.469011056601</v>
      </c>
      <c r="I275" t="s">
        <v>36</v>
      </c>
      <c r="J275" s="1">
        <v>45035</v>
      </c>
      <c r="K275" t="s">
        <v>40</v>
      </c>
      <c r="L275" t="s">
        <v>37</v>
      </c>
      <c r="M275">
        <f>YEAR(Table2[[#This Row],[Date of Admission]])</f>
        <v>2023</v>
      </c>
    </row>
    <row r="276" spans="1:13" x14ac:dyDescent="0.2">
      <c r="A276" t="s">
        <v>319</v>
      </c>
      <c r="B276">
        <v>19</v>
      </c>
      <c r="C276" t="s">
        <v>14</v>
      </c>
      <c r="D276" t="s">
        <v>34</v>
      </c>
      <c r="E276" t="s">
        <v>23</v>
      </c>
      <c r="F276" s="1">
        <v>43850</v>
      </c>
      <c r="G276" t="s">
        <v>43</v>
      </c>
      <c r="H276">
        <v>23687.993642467602</v>
      </c>
      <c r="I276" t="s">
        <v>25</v>
      </c>
      <c r="J276" s="1">
        <v>43872</v>
      </c>
      <c r="K276" t="s">
        <v>26</v>
      </c>
      <c r="L276" t="s">
        <v>20</v>
      </c>
      <c r="M276">
        <f>YEAR(Table2[[#This Row],[Date of Admission]])</f>
        <v>2020</v>
      </c>
    </row>
    <row r="277" spans="1:13" x14ac:dyDescent="0.2">
      <c r="A277" t="s">
        <v>320</v>
      </c>
      <c r="B277">
        <v>79</v>
      </c>
      <c r="C277" t="s">
        <v>29</v>
      </c>
      <c r="D277" t="s">
        <v>15</v>
      </c>
      <c r="E277" t="s">
        <v>35</v>
      </c>
      <c r="F277" s="1">
        <v>45314</v>
      </c>
      <c r="G277" t="s">
        <v>43</v>
      </c>
      <c r="H277">
        <v>17720.318726459001</v>
      </c>
      <c r="I277" t="s">
        <v>36</v>
      </c>
      <c r="J277" s="1">
        <v>45344</v>
      </c>
      <c r="K277" t="s">
        <v>19</v>
      </c>
      <c r="L277" t="s">
        <v>37</v>
      </c>
      <c r="M277">
        <f>YEAR(Table2[[#This Row],[Date of Admission]])</f>
        <v>2024</v>
      </c>
    </row>
    <row r="278" spans="1:13" x14ac:dyDescent="0.2">
      <c r="A278" t="s">
        <v>321</v>
      </c>
      <c r="B278">
        <v>76</v>
      </c>
      <c r="C278" t="s">
        <v>14</v>
      </c>
      <c r="D278" t="s">
        <v>15</v>
      </c>
      <c r="E278" t="s">
        <v>42</v>
      </c>
      <c r="F278" s="1">
        <v>44915</v>
      </c>
      <c r="G278" t="s">
        <v>43</v>
      </c>
      <c r="H278">
        <v>27361.2496848068</v>
      </c>
      <c r="I278" t="s">
        <v>25</v>
      </c>
      <c r="J278" s="1">
        <v>44928</v>
      </c>
      <c r="K278" t="s">
        <v>19</v>
      </c>
      <c r="L278" t="s">
        <v>20</v>
      </c>
      <c r="M278">
        <f>YEAR(Table2[[#This Row],[Date of Admission]])</f>
        <v>2022</v>
      </c>
    </row>
    <row r="279" spans="1:13" x14ac:dyDescent="0.2">
      <c r="A279" t="s">
        <v>322</v>
      </c>
      <c r="B279">
        <v>37</v>
      </c>
      <c r="C279" t="s">
        <v>29</v>
      </c>
      <c r="D279" t="s">
        <v>22</v>
      </c>
      <c r="E279" t="s">
        <v>23</v>
      </c>
      <c r="F279" s="1">
        <v>44418</v>
      </c>
      <c r="G279" t="s">
        <v>43</v>
      </c>
      <c r="H279">
        <v>39265.646054545097</v>
      </c>
      <c r="I279" t="s">
        <v>36</v>
      </c>
      <c r="J279" s="1">
        <v>44442</v>
      </c>
      <c r="K279" t="s">
        <v>26</v>
      </c>
      <c r="L279" t="s">
        <v>20</v>
      </c>
      <c r="M279">
        <f>YEAR(Table2[[#This Row],[Date of Admission]])</f>
        <v>2021</v>
      </c>
    </row>
    <row r="280" spans="1:13" x14ac:dyDescent="0.2">
      <c r="A280" t="s">
        <v>323</v>
      </c>
      <c r="B280">
        <v>62</v>
      </c>
      <c r="C280" t="s">
        <v>14</v>
      </c>
      <c r="D280" t="s">
        <v>71</v>
      </c>
      <c r="E280" t="s">
        <v>59</v>
      </c>
      <c r="F280" s="1">
        <v>44158</v>
      </c>
      <c r="G280" t="s">
        <v>31</v>
      </c>
      <c r="H280">
        <v>32868.082770922701</v>
      </c>
      <c r="I280" t="s">
        <v>25</v>
      </c>
      <c r="J280" s="1">
        <v>44163</v>
      </c>
      <c r="K280" t="s">
        <v>19</v>
      </c>
      <c r="L280" t="s">
        <v>27</v>
      </c>
      <c r="M280">
        <f>YEAR(Table2[[#This Row],[Date of Admission]])</f>
        <v>2020</v>
      </c>
    </row>
    <row r="281" spans="1:13" x14ac:dyDescent="0.2">
      <c r="A281" t="s">
        <v>324</v>
      </c>
      <c r="B281">
        <v>80</v>
      </c>
      <c r="C281" t="s">
        <v>14</v>
      </c>
      <c r="D281" t="s">
        <v>30</v>
      </c>
      <c r="E281" t="s">
        <v>42</v>
      </c>
      <c r="F281" s="1">
        <v>43871</v>
      </c>
      <c r="G281" t="s">
        <v>17</v>
      </c>
      <c r="H281">
        <v>22032.3895867422</v>
      </c>
      <c r="I281" t="s">
        <v>25</v>
      </c>
      <c r="J281" s="1">
        <v>43890</v>
      </c>
      <c r="K281" t="s">
        <v>26</v>
      </c>
      <c r="L281" t="s">
        <v>20</v>
      </c>
      <c r="M281">
        <f>YEAR(Table2[[#This Row],[Date of Admission]])</f>
        <v>2020</v>
      </c>
    </row>
    <row r="282" spans="1:13" x14ac:dyDescent="0.2">
      <c r="A282" t="s">
        <v>325</v>
      </c>
      <c r="B282">
        <v>49</v>
      </c>
      <c r="C282" t="s">
        <v>29</v>
      </c>
      <c r="D282" t="s">
        <v>22</v>
      </c>
      <c r="E282" t="s">
        <v>35</v>
      </c>
      <c r="F282" s="1">
        <v>43620</v>
      </c>
      <c r="G282" t="s">
        <v>17</v>
      </c>
      <c r="H282">
        <v>43165.694086010197</v>
      </c>
      <c r="I282" t="s">
        <v>36</v>
      </c>
      <c r="J282" s="1">
        <v>43633</v>
      </c>
      <c r="K282" t="s">
        <v>26</v>
      </c>
      <c r="L282" t="s">
        <v>37</v>
      </c>
      <c r="M282">
        <f>YEAR(Table2[[#This Row],[Date of Admission]])</f>
        <v>2019</v>
      </c>
    </row>
    <row r="283" spans="1:13" x14ac:dyDescent="0.2">
      <c r="A283" t="s">
        <v>326</v>
      </c>
      <c r="B283">
        <v>66</v>
      </c>
      <c r="C283" t="s">
        <v>29</v>
      </c>
      <c r="D283" t="s">
        <v>34</v>
      </c>
      <c r="E283" t="s">
        <v>23</v>
      </c>
      <c r="F283" s="1">
        <v>45193</v>
      </c>
      <c r="G283" t="s">
        <v>17</v>
      </c>
      <c r="H283">
        <v>1870.6084397725899</v>
      </c>
      <c r="I283" t="s">
        <v>25</v>
      </c>
      <c r="J283" s="1">
        <v>45210</v>
      </c>
      <c r="K283" t="s">
        <v>40</v>
      </c>
      <c r="L283" t="s">
        <v>27</v>
      </c>
      <c r="M283">
        <f>YEAR(Table2[[#This Row],[Date of Admission]])</f>
        <v>2023</v>
      </c>
    </row>
    <row r="284" spans="1:13" x14ac:dyDescent="0.2">
      <c r="A284" t="s">
        <v>327</v>
      </c>
      <c r="B284">
        <v>50</v>
      </c>
      <c r="C284" t="s">
        <v>14</v>
      </c>
      <c r="D284" t="s">
        <v>15</v>
      </c>
      <c r="E284" t="s">
        <v>35</v>
      </c>
      <c r="F284" s="1">
        <v>44424</v>
      </c>
      <c r="G284" t="s">
        <v>17</v>
      </c>
      <c r="H284">
        <v>50254.201831162201</v>
      </c>
      <c r="I284" t="s">
        <v>36</v>
      </c>
      <c r="J284" s="1">
        <v>44428</v>
      </c>
      <c r="K284" t="s">
        <v>32</v>
      </c>
      <c r="L284" t="s">
        <v>27</v>
      </c>
      <c r="M284">
        <f>YEAR(Table2[[#This Row],[Date of Admission]])</f>
        <v>2021</v>
      </c>
    </row>
    <row r="285" spans="1:13" x14ac:dyDescent="0.2">
      <c r="A285" t="s">
        <v>328</v>
      </c>
      <c r="B285">
        <v>39</v>
      </c>
      <c r="C285" t="s">
        <v>14</v>
      </c>
      <c r="D285" t="s">
        <v>45</v>
      </c>
      <c r="E285" t="s">
        <v>59</v>
      </c>
      <c r="F285" s="1">
        <v>44018</v>
      </c>
      <c r="G285" t="s">
        <v>31</v>
      </c>
      <c r="H285">
        <v>23159.663033639299</v>
      </c>
      <c r="I285" t="s">
        <v>36</v>
      </c>
      <c r="J285" s="1">
        <v>44034</v>
      </c>
      <c r="K285" t="s">
        <v>40</v>
      </c>
      <c r="L285" t="s">
        <v>27</v>
      </c>
      <c r="M285">
        <f>YEAR(Table2[[#This Row],[Date of Admission]])</f>
        <v>2020</v>
      </c>
    </row>
    <row r="286" spans="1:13" x14ac:dyDescent="0.2">
      <c r="A286" t="s">
        <v>329</v>
      </c>
      <c r="B286">
        <v>31</v>
      </c>
      <c r="C286" t="s">
        <v>29</v>
      </c>
      <c r="D286" t="s">
        <v>15</v>
      </c>
      <c r="E286" t="s">
        <v>35</v>
      </c>
      <c r="F286" s="1">
        <v>44902</v>
      </c>
      <c r="G286" t="s">
        <v>31</v>
      </c>
      <c r="H286">
        <v>11469.390589717001</v>
      </c>
      <c r="I286" t="s">
        <v>36</v>
      </c>
      <c r="J286" s="1">
        <v>44924</v>
      </c>
      <c r="K286" t="s">
        <v>19</v>
      </c>
      <c r="L286" t="s">
        <v>37</v>
      </c>
      <c r="M286">
        <f>YEAR(Table2[[#This Row],[Date of Admission]])</f>
        <v>2022</v>
      </c>
    </row>
    <row r="287" spans="1:13" x14ac:dyDescent="0.2">
      <c r="A287" t="s">
        <v>330</v>
      </c>
      <c r="B287">
        <v>84</v>
      </c>
      <c r="C287" t="s">
        <v>14</v>
      </c>
      <c r="D287" t="s">
        <v>45</v>
      </c>
      <c r="E287" t="s">
        <v>16</v>
      </c>
      <c r="F287" s="1">
        <v>45289</v>
      </c>
      <c r="G287" t="s">
        <v>31</v>
      </c>
      <c r="H287">
        <v>35435.170152695602</v>
      </c>
      <c r="I287" t="s">
        <v>36</v>
      </c>
      <c r="J287" s="1">
        <v>45307</v>
      </c>
      <c r="K287" t="s">
        <v>26</v>
      </c>
      <c r="L287" t="s">
        <v>37</v>
      </c>
      <c r="M287">
        <f>YEAR(Table2[[#This Row],[Date of Admission]])</f>
        <v>2023</v>
      </c>
    </row>
    <row r="288" spans="1:13" x14ac:dyDescent="0.2">
      <c r="A288" t="s">
        <v>331</v>
      </c>
      <c r="B288">
        <v>71</v>
      </c>
      <c r="C288" t="s">
        <v>14</v>
      </c>
      <c r="D288" t="s">
        <v>71</v>
      </c>
      <c r="E288" t="s">
        <v>16</v>
      </c>
      <c r="F288" s="1">
        <v>44973</v>
      </c>
      <c r="G288" t="s">
        <v>43</v>
      </c>
      <c r="H288">
        <v>26139.7859488467</v>
      </c>
      <c r="I288" t="s">
        <v>18</v>
      </c>
      <c r="J288" s="1">
        <v>44982</v>
      </c>
      <c r="K288" t="s">
        <v>19</v>
      </c>
      <c r="L288" t="s">
        <v>37</v>
      </c>
      <c r="M288">
        <f>YEAR(Table2[[#This Row],[Date of Admission]])</f>
        <v>2023</v>
      </c>
    </row>
    <row r="289" spans="1:13" x14ac:dyDescent="0.2">
      <c r="A289" t="s">
        <v>332</v>
      </c>
      <c r="B289">
        <v>79</v>
      </c>
      <c r="C289" t="s">
        <v>14</v>
      </c>
      <c r="D289" t="s">
        <v>63</v>
      </c>
      <c r="E289" t="s">
        <v>16</v>
      </c>
      <c r="F289" s="1">
        <v>44693</v>
      </c>
      <c r="G289" t="s">
        <v>43</v>
      </c>
      <c r="H289">
        <v>21296.518726963801</v>
      </c>
      <c r="I289" t="s">
        <v>25</v>
      </c>
      <c r="J289" s="1">
        <v>44697</v>
      </c>
      <c r="K289" t="s">
        <v>19</v>
      </c>
      <c r="L289" t="s">
        <v>37</v>
      </c>
      <c r="M289">
        <f>YEAR(Table2[[#This Row],[Date of Admission]])</f>
        <v>2022</v>
      </c>
    </row>
    <row r="290" spans="1:13" x14ac:dyDescent="0.2">
      <c r="A290" t="s">
        <v>333</v>
      </c>
      <c r="B290">
        <v>56</v>
      </c>
      <c r="C290" t="s">
        <v>14</v>
      </c>
      <c r="D290" t="s">
        <v>34</v>
      </c>
      <c r="E290" t="s">
        <v>59</v>
      </c>
      <c r="F290" s="1">
        <v>45189</v>
      </c>
      <c r="G290" t="s">
        <v>43</v>
      </c>
      <c r="H290">
        <v>8421.91538451632</v>
      </c>
      <c r="I290" t="s">
        <v>25</v>
      </c>
      <c r="J290" s="1">
        <v>45194</v>
      </c>
      <c r="K290" t="s">
        <v>19</v>
      </c>
      <c r="L290" t="s">
        <v>27</v>
      </c>
      <c r="M290">
        <f>YEAR(Table2[[#This Row],[Date of Admission]])</f>
        <v>2023</v>
      </c>
    </row>
    <row r="291" spans="1:13" x14ac:dyDescent="0.2">
      <c r="A291" t="s">
        <v>334</v>
      </c>
      <c r="B291">
        <v>36</v>
      </c>
      <c r="C291" t="s">
        <v>14</v>
      </c>
      <c r="D291" t="s">
        <v>71</v>
      </c>
      <c r="E291" t="s">
        <v>23</v>
      </c>
      <c r="F291" s="1">
        <v>43841</v>
      </c>
      <c r="G291" t="s">
        <v>47</v>
      </c>
      <c r="H291">
        <v>23892.552669226399</v>
      </c>
      <c r="I291" t="s">
        <v>25</v>
      </c>
      <c r="J291" s="1">
        <v>43846</v>
      </c>
      <c r="K291" t="s">
        <v>32</v>
      </c>
      <c r="L291" t="s">
        <v>20</v>
      </c>
      <c r="M291">
        <f>YEAR(Table2[[#This Row],[Date of Admission]])</f>
        <v>2020</v>
      </c>
    </row>
    <row r="292" spans="1:13" x14ac:dyDescent="0.2">
      <c r="A292" t="s">
        <v>335</v>
      </c>
      <c r="B292">
        <v>38</v>
      </c>
      <c r="C292" t="s">
        <v>14</v>
      </c>
      <c r="D292" t="s">
        <v>71</v>
      </c>
      <c r="E292" t="s">
        <v>23</v>
      </c>
      <c r="F292" s="1">
        <v>44650</v>
      </c>
      <c r="G292" t="s">
        <v>17</v>
      </c>
      <c r="H292">
        <v>8171.4626147149202</v>
      </c>
      <c r="I292" t="s">
        <v>36</v>
      </c>
      <c r="J292" s="1">
        <v>44677</v>
      </c>
      <c r="K292" t="s">
        <v>26</v>
      </c>
      <c r="L292" t="s">
        <v>27</v>
      </c>
      <c r="M292">
        <f>YEAR(Table2[[#This Row],[Date of Admission]])</f>
        <v>2022</v>
      </c>
    </row>
    <row r="293" spans="1:13" x14ac:dyDescent="0.2">
      <c r="A293" t="s">
        <v>336</v>
      </c>
      <c r="B293">
        <v>21</v>
      </c>
      <c r="C293" t="s">
        <v>14</v>
      </c>
      <c r="D293" t="s">
        <v>39</v>
      </c>
      <c r="E293" t="s">
        <v>59</v>
      </c>
      <c r="F293" s="1">
        <v>43962</v>
      </c>
      <c r="G293" t="s">
        <v>43</v>
      </c>
      <c r="H293">
        <v>23457.309286507902</v>
      </c>
      <c r="I293" t="s">
        <v>36</v>
      </c>
      <c r="J293" s="1">
        <v>43971</v>
      </c>
      <c r="K293" t="s">
        <v>53</v>
      </c>
      <c r="L293" t="s">
        <v>20</v>
      </c>
      <c r="M293">
        <f>YEAR(Table2[[#This Row],[Date of Admission]])</f>
        <v>2020</v>
      </c>
    </row>
    <row r="294" spans="1:13" x14ac:dyDescent="0.2">
      <c r="A294" t="s">
        <v>337</v>
      </c>
      <c r="B294">
        <v>55</v>
      </c>
      <c r="C294" t="s">
        <v>29</v>
      </c>
      <c r="D294" t="s">
        <v>34</v>
      </c>
      <c r="E294" t="s">
        <v>16</v>
      </c>
      <c r="F294" s="1">
        <v>44581</v>
      </c>
      <c r="G294" t="s">
        <v>47</v>
      </c>
      <c r="H294">
        <v>25787.439143745902</v>
      </c>
      <c r="I294" t="s">
        <v>25</v>
      </c>
      <c r="J294" s="1">
        <v>44608</v>
      </c>
      <c r="K294" t="s">
        <v>19</v>
      </c>
      <c r="L294" t="s">
        <v>20</v>
      </c>
      <c r="M294">
        <f>YEAR(Table2[[#This Row],[Date of Admission]])</f>
        <v>2022</v>
      </c>
    </row>
    <row r="295" spans="1:13" x14ac:dyDescent="0.2">
      <c r="A295" t="s">
        <v>338</v>
      </c>
      <c r="B295">
        <v>79</v>
      </c>
      <c r="C295" t="s">
        <v>29</v>
      </c>
      <c r="D295" t="s">
        <v>30</v>
      </c>
      <c r="E295" t="s">
        <v>52</v>
      </c>
      <c r="F295" s="1">
        <v>43782</v>
      </c>
      <c r="G295" t="s">
        <v>17</v>
      </c>
      <c r="H295">
        <v>28525.524767688199</v>
      </c>
      <c r="I295" t="s">
        <v>18</v>
      </c>
      <c r="J295" s="1">
        <v>43793</v>
      </c>
      <c r="K295" t="s">
        <v>32</v>
      </c>
      <c r="L295" t="s">
        <v>37</v>
      </c>
      <c r="M295">
        <f>YEAR(Table2[[#This Row],[Date of Admission]])</f>
        <v>2019</v>
      </c>
    </row>
    <row r="296" spans="1:13" x14ac:dyDescent="0.2">
      <c r="A296" t="s">
        <v>339</v>
      </c>
      <c r="B296">
        <v>55</v>
      </c>
      <c r="C296" t="s">
        <v>14</v>
      </c>
      <c r="D296" t="s">
        <v>45</v>
      </c>
      <c r="E296" t="s">
        <v>59</v>
      </c>
      <c r="F296" s="1">
        <v>44230</v>
      </c>
      <c r="G296" t="s">
        <v>43</v>
      </c>
      <c r="H296">
        <v>17182.869811876899</v>
      </c>
      <c r="I296" t="s">
        <v>25</v>
      </c>
      <c r="J296" s="1">
        <v>44247</v>
      </c>
      <c r="K296" t="s">
        <v>53</v>
      </c>
      <c r="L296" t="s">
        <v>37</v>
      </c>
      <c r="M296">
        <f>YEAR(Table2[[#This Row],[Date of Admission]])</f>
        <v>2021</v>
      </c>
    </row>
    <row r="297" spans="1:13" x14ac:dyDescent="0.2">
      <c r="A297" t="s">
        <v>340</v>
      </c>
      <c r="B297">
        <v>24</v>
      </c>
      <c r="C297" t="s">
        <v>14</v>
      </c>
      <c r="D297" t="s">
        <v>39</v>
      </c>
      <c r="E297" t="s">
        <v>42</v>
      </c>
      <c r="F297" s="1">
        <v>44128</v>
      </c>
      <c r="G297" t="s">
        <v>47</v>
      </c>
      <c r="H297">
        <v>20980.303064872202</v>
      </c>
      <c r="I297" t="s">
        <v>36</v>
      </c>
      <c r="J297" s="1">
        <v>44150</v>
      </c>
      <c r="K297" t="s">
        <v>32</v>
      </c>
      <c r="L297" t="s">
        <v>27</v>
      </c>
      <c r="M297">
        <f>YEAR(Table2[[#This Row],[Date of Admission]])</f>
        <v>2020</v>
      </c>
    </row>
    <row r="298" spans="1:13" x14ac:dyDescent="0.2">
      <c r="A298" t="s">
        <v>341</v>
      </c>
      <c r="B298">
        <v>39</v>
      </c>
      <c r="C298" t="s">
        <v>29</v>
      </c>
      <c r="D298" t="s">
        <v>34</v>
      </c>
      <c r="E298" t="s">
        <v>52</v>
      </c>
      <c r="F298" s="1">
        <v>44837</v>
      </c>
      <c r="G298" t="s">
        <v>24</v>
      </c>
      <c r="H298">
        <v>4243.2026438305902</v>
      </c>
      <c r="I298" t="s">
        <v>18</v>
      </c>
      <c r="J298" s="1">
        <v>44840</v>
      </c>
      <c r="K298" t="s">
        <v>26</v>
      </c>
      <c r="L298" t="s">
        <v>37</v>
      </c>
      <c r="M298">
        <f>YEAR(Table2[[#This Row],[Date of Admission]])</f>
        <v>2022</v>
      </c>
    </row>
    <row r="299" spans="1:13" x14ac:dyDescent="0.2">
      <c r="A299" t="s">
        <v>342</v>
      </c>
      <c r="B299">
        <v>63</v>
      </c>
      <c r="C299" t="s">
        <v>29</v>
      </c>
      <c r="D299" t="s">
        <v>63</v>
      </c>
      <c r="E299" t="s">
        <v>16</v>
      </c>
      <c r="F299" s="1">
        <v>45284</v>
      </c>
      <c r="G299" t="s">
        <v>47</v>
      </c>
      <c r="H299">
        <v>40137.789171480603</v>
      </c>
      <c r="I299" t="s">
        <v>36</v>
      </c>
      <c r="J299" s="1">
        <v>45293</v>
      </c>
      <c r="K299" t="s">
        <v>26</v>
      </c>
      <c r="L299" t="s">
        <v>20</v>
      </c>
      <c r="M299">
        <f>YEAR(Table2[[#This Row],[Date of Admission]])</f>
        <v>2023</v>
      </c>
    </row>
    <row r="300" spans="1:13" x14ac:dyDescent="0.2">
      <c r="A300" t="s">
        <v>343</v>
      </c>
      <c r="B300">
        <v>26</v>
      </c>
      <c r="C300" t="s">
        <v>14</v>
      </c>
      <c r="D300" t="s">
        <v>45</v>
      </c>
      <c r="E300" t="s">
        <v>42</v>
      </c>
      <c r="F300" s="1">
        <v>45248</v>
      </c>
      <c r="G300" t="s">
        <v>24</v>
      </c>
      <c r="H300">
        <v>30676.441759526999</v>
      </c>
      <c r="I300" t="s">
        <v>36</v>
      </c>
      <c r="J300" s="1">
        <v>45256</v>
      </c>
      <c r="K300" t="s">
        <v>26</v>
      </c>
      <c r="L300" t="s">
        <v>20</v>
      </c>
      <c r="M300">
        <f>YEAR(Table2[[#This Row],[Date of Admission]])</f>
        <v>2023</v>
      </c>
    </row>
    <row r="301" spans="1:13" x14ac:dyDescent="0.2">
      <c r="A301" t="s">
        <v>344</v>
      </c>
      <c r="B301">
        <v>76</v>
      </c>
      <c r="C301" t="s">
        <v>29</v>
      </c>
      <c r="D301" t="s">
        <v>39</v>
      </c>
      <c r="E301" t="s">
        <v>52</v>
      </c>
      <c r="F301" s="1">
        <v>45363</v>
      </c>
      <c r="G301" t="s">
        <v>31</v>
      </c>
      <c r="H301">
        <v>45594.889070635902</v>
      </c>
      <c r="I301" t="s">
        <v>18</v>
      </c>
      <c r="J301" s="1">
        <v>45391</v>
      </c>
      <c r="K301" t="s">
        <v>19</v>
      </c>
      <c r="L301" t="s">
        <v>37</v>
      </c>
      <c r="M301">
        <f>YEAR(Table2[[#This Row],[Date of Admission]])</f>
        <v>2024</v>
      </c>
    </row>
    <row r="302" spans="1:13" x14ac:dyDescent="0.2">
      <c r="A302" t="s">
        <v>345</v>
      </c>
      <c r="B302">
        <v>69</v>
      </c>
      <c r="C302" t="s">
        <v>14</v>
      </c>
      <c r="D302" t="s">
        <v>22</v>
      </c>
      <c r="E302" t="s">
        <v>16</v>
      </c>
      <c r="F302" s="1">
        <v>45028</v>
      </c>
      <c r="G302" t="s">
        <v>24</v>
      </c>
      <c r="H302">
        <v>29076.629611154</v>
      </c>
      <c r="I302" t="s">
        <v>18</v>
      </c>
      <c r="J302" s="1">
        <v>45053</v>
      </c>
      <c r="K302" t="s">
        <v>26</v>
      </c>
      <c r="L302" t="s">
        <v>37</v>
      </c>
      <c r="M302">
        <f>YEAR(Table2[[#This Row],[Date of Admission]])</f>
        <v>2023</v>
      </c>
    </row>
    <row r="303" spans="1:13" x14ac:dyDescent="0.2">
      <c r="A303" t="s">
        <v>346</v>
      </c>
      <c r="B303">
        <v>38</v>
      </c>
      <c r="C303" t="s">
        <v>29</v>
      </c>
      <c r="D303" t="s">
        <v>34</v>
      </c>
      <c r="E303" t="s">
        <v>23</v>
      </c>
      <c r="F303" s="1">
        <v>44363</v>
      </c>
      <c r="G303" t="s">
        <v>47</v>
      </c>
      <c r="H303">
        <v>5223.5020813440497</v>
      </c>
      <c r="I303" t="s">
        <v>25</v>
      </c>
      <c r="J303" s="1">
        <v>44388</v>
      </c>
      <c r="K303" t="s">
        <v>19</v>
      </c>
      <c r="L303" t="s">
        <v>37</v>
      </c>
      <c r="M303">
        <f>YEAR(Table2[[#This Row],[Date of Admission]])</f>
        <v>2021</v>
      </c>
    </row>
    <row r="304" spans="1:13" x14ac:dyDescent="0.2">
      <c r="A304" t="s">
        <v>347</v>
      </c>
      <c r="B304">
        <v>19</v>
      </c>
      <c r="C304" t="s">
        <v>14</v>
      </c>
      <c r="D304" t="s">
        <v>45</v>
      </c>
      <c r="E304" t="s">
        <v>52</v>
      </c>
      <c r="F304" s="1">
        <v>44524</v>
      </c>
      <c r="G304" t="s">
        <v>17</v>
      </c>
      <c r="H304">
        <v>41840.658034423803</v>
      </c>
      <c r="I304" t="s">
        <v>36</v>
      </c>
      <c r="J304" s="1">
        <v>44543</v>
      </c>
      <c r="K304" t="s">
        <v>40</v>
      </c>
      <c r="L304" t="s">
        <v>37</v>
      </c>
      <c r="M304">
        <f>YEAR(Table2[[#This Row],[Date of Admission]])</f>
        <v>2021</v>
      </c>
    </row>
    <row r="305" spans="1:13" x14ac:dyDescent="0.2">
      <c r="A305" t="s">
        <v>348</v>
      </c>
      <c r="B305">
        <v>61</v>
      </c>
      <c r="C305" t="s">
        <v>14</v>
      </c>
      <c r="D305" t="s">
        <v>15</v>
      </c>
      <c r="E305" t="s">
        <v>23</v>
      </c>
      <c r="F305" s="1">
        <v>44018</v>
      </c>
      <c r="G305" t="s">
        <v>17</v>
      </c>
      <c r="H305">
        <v>26504.8659110347</v>
      </c>
      <c r="I305" t="s">
        <v>25</v>
      </c>
      <c r="J305" s="1">
        <v>44034</v>
      </c>
      <c r="K305" t="s">
        <v>32</v>
      </c>
      <c r="L305" t="s">
        <v>20</v>
      </c>
      <c r="M305">
        <f>YEAR(Table2[[#This Row],[Date of Admission]])</f>
        <v>2020</v>
      </c>
    </row>
    <row r="306" spans="1:13" x14ac:dyDescent="0.2">
      <c r="A306" t="s">
        <v>349</v>
      </c>
      <c r="B306">
        <v>42</v>
      </c>
      <c r="C306" t="s">
        <v>29</v>
      </c>
      <c r="D306" t="s">
        <v>45</v>
      </c>
      <c r="E306" t="s">
        <v>59</v>
      </c>
      <c r="F306" s="1">
        <v>44738</v>
      </c>
      <c r="G306" t="s">
        <v>47</v>
      </c>
      <c r="H306">
        <v>7946.1291129576903</v>
      </c>
      <c r="I306" t="s">
        <v>36</v>
      </c>
      <c r="J306" s="1">
        <v>44743</v>
      </c>
      <c r="K306" t="s">
        <v>26</v>
      </c>
      <c r="L306" t="s">
        <v>27</v>
      </c>
      <c r="M306">
        <f>YEAR(Table2[[#This Row],[Date of Admission]])</f>
        <v>2022</v>
      </c>
    </row>
    <row r="307" spans="1:13" x14ac:dyDescent="0.2">
      <c r="A307" t="s">
        <v>350</v>
      </c>
      <c r="B307">
        <v>57</v>
      </c>
      <c r="C307" t="s">
        <v>14</v>
      </c>
      <c r="D307" t="s">
        <v>45</v>
      </c>
      <c r="E307" t="s">
        <v>35</v>
      </c>
      <c r="F307" s="1">
        <v>44033</v>
      </c>
      <c r="G307" t="s">
        <v>47</v>
      </c>
      <c r="H307">
        <v>18689.138447934001</v>
      </c>
      <c r="I307" t="s">
        <v>18</v>
      </c>
      <c r="J307" s="1">
        <v>44043</v>
      </c>
      <c r="K307" t="s">
        <v>53</v>
      </c>
      <c r="L307" t="s">
        <v>20</v>
      </c>
      <c r="M307">
        <f>YEAR(Table2[[#This Row],[Date of Admission]])</f>
        <v>2020</v>
      </c>
    </row>
    <row r="308" spans="1:13" x14ac:dyDescent="0.2">
      <c r="A308" t="s">
        <v>351</v>
      </c>
      <c r="B308">
        <v>36</v>
      </c>
      <c r="C308" t="s">
        <v>29</v>
      </c>
      <c r="D308" t="s">
        <v>30</v>
      </c>
      <c r="E308" t="s">
        <v>59</v>
      </c>
      <c r="F308" s="1">
        <v>43773</v>
      </c>
      <c r="G308" t="s">
        <v>17</v>
      </c>
      <c r="H308">
        <v>30051.975072767102</v>
      </c>
      <c r="I308" t="s">
        <v>18</v>
      </c>
      <c r="J308" s="1">
        <v>43802</v>
      </c>
      <c r="K308" t="s">
        <v>26</v>
      </c>
      <c r="L308" t="s">
        <v>37</v>
      </c>
      <c r="M308">
        <f>YEAR(Table2[[#This Row],[Date of Admission]])</f>
        <v>2019</v>
      </c>
    </row>
    <row r="309" spans="1:13" x14ac:dyDescent="0.2">
      <c r="A309" t="s">
        <v>352</v>
      </c>
      <c r="B309">
        <v>68</v>
      </c>
      <c r="C309" t="s">
        <v>29</v>
      </c>
      <c r="D309" t="s">
        <v>39</v>
      </c>
      <c r="E309" t="s">
        <v>52</v>
      </c>
      <c r="F309" s="1">
        <v>44501</v>
      </c>
      <c r="G309" t="s">
        <v>24</v>
      </c>
      <c r="H309">
        <v>22913.5542530079</v>
      </c>
      <c r="I309" t="s">
        <v>18</v>
      </c>
      <c r="J309" s="1">
        <v>44503</v>
      </c>
      <c r="K309" t="s">
        <v>19</v>
      </c>
      <c r="L309" t="s">
        <v>20</v>
      </c>
      <c r="M309">
        <f>YEAR(Table2[[#This Row],[Date of Admission]])</f>
        <v>2021</v>
      </c>
    </row>
    <row r="310" spans="1:13" x14ac:dyDescent="0.2">
      <c r="A310" t="s">
        <v>353</v>
      </c>
      <c r="B310">
        <v>25</v>
      </c>
      <c r="C310" t="s">
        <v>29</v>
      </c>
      <c r="D310" t="s">
        <v>63</v>
      </c>
      <c r="E310" t="s">
        <v>23</v>
      </c>
      <c r="F310" s="1">
        <v>43786</v>
      </c>
      <c r="G310" t="s">
        <v>43</v>
      </c>
      <c r="H310">
        <v>36238.576849333302</v>
      </c>
      <c r="I310" t="s">
        <v>36</v>
      </c>
      <c r="J310" s="1">
        <v>43799</v>
      </c>
      <c r="K310" t="s">
        <v>26</v>
      </c>
      <c r="L310" t="s">
        <v>27</v>
      </c>
      <c r="M310">
        <f>YEAR(Table2[[#This Row],[Date of Admission]])</f>
        <v>2019</v>
      </c>
    </row>
    <row r="311" spans="1:13" x14ac:dyDescent="0.2">
      <c r="A311" t="s">
        <v>354</v>
      </c>
      <c r="B311">
        <v>37</v>
      </c>
      <c r="C311" t="s">
        <v>29</v>
      </c>
      <c r="D311" t="s">
        <v>63</v>
      </c>
      <c r="E311" t="s">
        <v>23</v>
      </c>
      <c r="F311" s="1">
        <v>44914</v>
      </c>
      <c r="G311" t="s">
        <v>24</v>
      </c>
      <c r="H311">
        <v>25217.4561843394</v>
      </c>
      <c r="I311" t="s">
        <v>18</v>
      </c>
      <c r="J311" s="1">
        <v>44932</v>
      </c>
      <c r="K311" t="s">
        <v>32</v>
      </c>
      <c r="L311" t="s">
        <v>20</v>
      </c>
      <c r="M311">
        <f>YEAR(Table2[[#This Row],[Date of Admission]])</f>
        <v>2022</v>
      </c>
    </row>
    <row r="312" spans="1:13" x14ac:dyDescent="0.2">
      <c r="A312" t="s">
        <v>355</v>
      </c>
      <c r="B312">
        <v>68</v>
      </c>
      <c r="C312" t="s">
        <v>14</v>
      </c>
      <c r="D312" t="s">
        <v>22</v>
      </c>
      <c r="E312" t="s">
        <v>42</v>
      </c>
      <c r="F312" s="1">
        <v>44110</v>
      </c>
      <c r="G312" t="s">
        <v>31</v>
      </c>
      <c r="H312">
        <v>41548.408314476997</v>
      </c>
      <c r="I312" t="s">
        <v>18</v>
      </c>
      <c r="J312" s="1">
        <v>44124</v>
      </c>
      <c r="K312" t="s">
        <v>32</v>
      </c>
      <c r="L312" t="s">
        <v>20</v>
      </c>
      <c r="M312">
        <f>YEAR(Table2[[#This Row],[Date of Admission]])</f>
        <v>2020</v>
      </c>
    </row>
    <row r="313" spans="1:13" x14ac:dyDescent="0.2">
      <c r="A313" t="s">
        <v>356</v>
      </c>
      <c r="B313">
        <v>81</v>
      </c>
      <c r="C313" t="s">
        <v>29</v>
      </c>
      <c r="D313" t="s">
        <v>45</v>
      </c>
      <c r="E313" t="s">
        <v>59</v>
      </c>
      <c r="F313" s="1">
        <v>44577</v>
      </c>
      <c r="G313" t="s">
        <v>31</v>
      </c>
      <c r="H313">
        <v>7562.3943796421199</v>
      </c>
      <c r="I313" t="s">
        <v>36</v>
      </c>
      <c r="J313" s="1">
        <v>44583</v>
      </c>
      <c r="K313" t="s">
        <v>26</v>
      </c>
      <c r="L313" t="s">
        <v>37</v>
      </c>
      <c r="M313">
        <f>YEAR(Table2[[#This Row],[Date of Admission]])</f>
        <v>2022</v>
      </c>
    </row>
    <row r="314" spans="1:13" x14ac:dyDescent="0.2">
      <c r="A314" t="s">
        <v>357</v>
      </c>
      <c r="B314">
        <v>74</v>
      </c>
      <c r="C314" t="s">
        <v>29</v>
      </c>
      <c r="D314" t="s">
        <v>22</v>
      </c>
      <c r="E314" t="s">
        <v>42</v>
      </c>
      <c r="F314" s="1">
        <v>45113</v>
      </c>
      <c r="G314" t="s">
        <v>43</v>
      </c>
      <c r="H314">
        <v>386.05405469133598</v>
      </c>
      <c r="I314" t="s">
        <v>36</v>
      </c>
      <c r="J314" s="1">
        <v>45141</v>
      </c>
      <c r="K314" t="s">
        <v>32</v>
      </c>
      <c r="L314" t="s">
        <v>20</v>
      </c>
      <c r="M314">
        <f>YEAR(Table2[[#This Row],[Date of Admission]])</f>
        <v>2023</v>
      </c>
    </row>
    <row r="315" spans="1:13" x14ac:dyDescent="0.2">
      <c r="A315" t="s">
        <v>358</v>
      </c>
      <c r="B315">
        <v>75</v>
      </c>
      <c r="C315" t="s">
        <v>14</v>
      </c>
      <c r="D315" t="s">
        <v>34</v>
      </c>
      <c r="E315" t="s">
        <v>59</v>
      </c>
      <c r="F315" s="1">
        <v>44359</v>
      </c>
      <c r="G315" t="s">
        <v>47</v>
      </c>
      <c r="H315">
        <v>31491.614710744299</v>
      </c>
      <c r="I315" t="s">
        <v>18</v>
      </c>
      <c r="J315" s="1">
        <v>44362</v>
      </c>
      <c r="K315" t="s">
        <v>26</v>
      </c>
      <c r="L315" t="s">
        <v>37</v>
      </c>
      <c r="M315">
        <f>YEAR(Table2[[#This Row],[Date of Admission]])</f>
        <v>2021</v>
      </c>
    </row>
    <row r="316" spans="1:13" x14ac:dyDescent="0.2">
      <c r="A316" t="s">
        <v>359</v>
      </c>
      <c r="B316">
        <v>74</v>
      </c>
      <c r="C316" t="s">
        <v>29</v>
      </c>
      <c r="D316" t="s">
        <v>39</v>
      </c>
      <c r="E316" t="s">
        <v>16</v>
      </c>
      <c r="F316" s="1">
        <v>43704</v>
      </c>
      <c r="G316" t="s">
        <v>43</v>
      </c>
      <c r="H316">
        <v>34224.348344580198</v>
      </c>
      <c r="I316" t="s">
        <v>36</v>
      </c>
      <c r="J316" s="1">
        <v>43709</v>
      </c>
      <c r="K316" t="s">
        <v>53</v>
      </c>
      <c r="L316" t="s">
        <v>37</v>
      </c>
      <c r="M316">
        <f>YEAR(Table2[[#This Row],[Date of Admission]])</f>
        <v>2019</v>
      </c>
    </row>
    <row r="317" spans="1:13" x14ac:dyDescent="0.2">
      <c r="A317" t="s">
        <v>360</v>
      </c>
      <c r="B317">
        <v>28</v>
      </c>
      <c r="C317" t="s">
        <v>29</v>
      </c>
      <c r="D317" t="s">
        <v>45</v>
      </c>
      <c r="E317" t="s">
        <v>35</v>
      </c>
      <c r="F317" s="1">
        <v>44698</v>
      </c>
      <c r="G317" t="s">
        <v>24</v>
      </c>
      <c r="H317">
        <v>23673.7217393301</v>
      </c>
      <c r="I317" t="s">
        <v>18</v>
      </c>
      <c r="J317" s="1">
        <v>44724</v>
      </c>
      <c r="K317" t="s">
        <v>26</v>
      </c>
      <c r="L317" t="s">
        <v>37</v>
      </c>
      <c r="M317">
        <f>YEAR(Table2[[#This Row],[Date of Admission]])</f>
        <v>2022</v>
      </c>
    </row>
    <row r="318" spans="1:13" x14ac:dyDescent="0.2">
      <c r="A318" t="s">
        <v>361</v>
      </c>
      <c r="B318">
        <v>35</v>
      </c>
      <c r="C318" t="s">
        <v>14</v>
      </c>
      <c r="D318" t="s">
        <v>39</v>
      </c>
      <c r="E318" t="s">
        <v>52</v>
      </c>
      <c r="F318" s="1">
        <v>44106</v>
      </c>
      <c r="G318" t="s">
        <v>43</v>
      </c>
      <c r="H318">
        <v>40301.997309242797</v>
      </c>
      <c r="I318" t="s">
        <v>36</v>
      </c>
      <c r="J318" s="1">
        <v>44121</v>
      </c>
      <c r="K318" t="s">
        <v>26</v>
      </c>
      <c r="L318" t="s">
        <v>27</v>
      </c>
      <c r="M318">
        <f>YEAR(Table2[[#This Row],[Date of Admission]])</f>
        <v>2020</v>
      </c>
    </row>
    <row r="319" spans="1:13" x14ac:dyDescent="0.2">
      <c r="A319" t="s">
        <v>362</v>
      </c>
      <c r="B319">
        <v>79</v>
      </c>
      <c r="C319" t="s">
        <v>29</v>
      </c>
      <c r="D319" t="s">
        <v>34</v>
      </c>
      <c r="E319" t="s">
        <v>42</v>
      </c>
      <c r="F319" s="1">
        <v>44428</v>
      </c>
      <c r="G319" t="s">
        <v>24</v>
      </c>
      <c r="H319">
        <v>37116.163814100801</v>
      </c>
      <c r="I319" t="s">
        <v>36</v>
      </c>
      <c r="J319" s="1">
        <v>44455</v>
      </c>
      <c r="K319" t="s">
        <v>53</v>
      </c>
      <c r="L319" t="s">
        <v>37</v>
      </c>
      <c r="M319">
        <f>YEAR(Table2[[#This Row],[Date of Admission]])</f>
        <v>2021</v>
      </c>
    </row>
    <row r="320" spans="1:13" x14ac:dyDescent="0.2">
      <c r="A320" t="s">
        <v>363</v>
      </c>
      <c r="B320">
        <v>59</v>
      </c>
      <c r="C320" t="s">
        <v>29</v>
      </c>
      <c r="D320" t="s">
        <v>71</v>
      </c>
      <c r="E320" t="s">
        <v>42</v>
      </c>
      <c r="F320" s="1">
        <v>43774</v>
      </c>
      <c r="G320" t="s">
        <v>31</v>
      </c>
      <c r="H320">
        <v>38606.963796832497</v>
      </c>
      <c r="I320" t="s">
        <v>36</v>
      </c>
      <c r="J320" s="1">
        <v>43786</v>
      </c>
      <c r="K320" t="s">
        <v>32</v>
      </c>
      <c r="L320" t="s">
        <v>27</v>
      </c>
      <c r="M320">
        <f>YEAR(Table2[[#This Row],[Date of Admission]])</f>
        <v>2019</v>
      </c>
    </row>
    <row r="321" spans="1:13" x14ac:dyDescent="0.2">
      <c r="A321" t="s">
        <v>364</v>
      </c>
      <c r="B321">
        <v>84</v>
      </c>
      <c r="C321" t="s">
        <v>29</v>
      </c>
      <c r="D321" t="s">
        <v>71</v>
      </c>
      <c r="E321" t="s">
        <v>59</v>
      </c>
      <c r="F321" s="1">
        <v>45328</v>
      </c>
      <c r="G321" t="s">
        <v>47</v>
      </c>
      <c r="H321">
        <v>17813.930503887299</v>
      </c>
      <c r="I321" t="s">
        <v>25</v>
      </c>
      <c r="J321" s="1">
        <v>45350</v>
      </c>
      <c r="K321" t="s">
        <v>40</v>
      </c>
      <c r="L321" t="s">
        <v>27</v>
      </c>
      <c r="M321">
        <f>YEAR(Table2[[#This Row],[Date of Admission]])</f>
        <v>2024</v>
      </c>
    </row>
    <row r="322" spans="1:13" x14ac:dyDescent="0.2">
      <c r="A322" t="s">
        <v>365</v>
      </c>
      <c r="B322">
        <v>36</v>
      </c>
      <c r="C322" t="s">
        <v>29</v>
      </c>
      <c r="D322" t="s">
        <v>71</v>
      </c>
      <c r="E322" t="s">
        <v>42</v>
      </c>
      <c r="F322" s="1">
        <v>45329</v>
      </c>
      <c r="G322" t="s">
        <v>31</v>
      </c>
      <c r="H322">
        <v>20773.023318885898</v>
      </c>
      <c r="I322" t="s">
        <v>18</v>
      </c>
      <c r="J322" s="1">
        <v>45343</v>
      </c>
      <c r="K322" t="s">
        <v>26</v>
      </c>
      <c r="L322" t="s">
        <v>20</v>
      </c>
      <c r="M322">
        <f>YEAR(Table2[[#This Row],[Date of Admission]])</f>
        <v>2024</v>
      </c>
    </row>
    <row r="323" spans="1:13" x14ac:dyDescent="0.2">
      <c r="A323" t="s">
        <v>366</v>
      </c>
      <c r="B323">
        <v>69</v>
      </c>
      <c r="C323" t="s">
        <v>14</v>
      </c>
      <c r="D323" t="s">
        <v>34</v>
      </c>
      <c r="E323" t="s">
        <v>59</v>
      </c>
      <c r="F323" s="1">
        <v>45099</v>
      </c>
      <c r="G323" t="s">
        <v>17</v>
      </c>
      <c r="H323">
        <v>9609.5223071493601</v>
      </c>
      <c r="I323" t="s">
        <v>18</v>
      </c>
      <c r="J323" s="1">
        <v>45118</v>
      </c>
      <c r="K323" t="s">
        <v>53</v>
      </c>
      <c r="L323" t="s">
        <v>20</v>
      </c>
      <c r="M323">
        <f>YEAR(Table2[[#This Row],[Date of Admission]])</f>
        <v>2023</v>
      </c>
    </row>
    <row r="324" spans="1:13" x14ac:dyDescent="0.2">
      <c r="A324" t="s">
        <v>367</v>
      </c>
      <c r="B324">
        <v>54</v>
      </c>
      <c r="C324" t="s">
        <v>14</v>
      </c>
      <c r="D324" t="s">
        <v>30</v>
      </c>
      <c r="E324" t="s">
        <v>16</v>
      </c>
      <c r="F324" s="1">
        <v>44154</v>
      </c>
      <c r="G324" t="s">
        <v>17</v>
      </c>
      <c r="H324">
        <v>3771.2371655738698</v>
      </c>
      <c r="I324" t="s">
        <v>18</v>
      </c>
      <c r="J324" s="1">
        <v>44162</v>
      </c>
      <c r="K324" t="s">
        <v>40</v>
      </c>
      <c r="L324" t="s">
        <v>37</v>
      </c>
      <c r="M324">
        <f>YEAR(Table2[[#This Row],[Date of Admission]])</f>
        <v>2020</v>
      </c>
    </row>
    <row r="325" spans="1:13" x14ac:dyDescent="0.2">
      <c r="A325" t="s">
        <v>368</v>
      </c>
      <c r="B325">
        <v>30</v>
      </c>
      <c r="C325" t="s">
        <v>29</v>
      </c>
      <c r="D325" t="s">
        <v>34</v>
      </c>
      <c r="E325" t="s">
        <v>42</v>
      </c>
      <c r="F325" s="1">
        <v>44524</v>
      </c>
      <c r="G325" t="s">
        <v>24</v>
      </c>
      <c r="H325">
        <v>51587.936816501999</v>
      </c>
      <c r="I325" t="s">
        <v>25</v>
      </c>
      <c r="J325" s="1">
        <v>44537</v>
      </c>
      <c r="K325" t="s">
        <v>26</v>
      </c>
      <c r="L325" t="s">
        <v>37</v>
      </c>
      <c r="M325">
        <f>YEAR(Table2[[#This Row],[Date of Admission]])</f>
        <v>2021</v>
      </c>
    </row>
    <row r="326" spans="1:13" x14ac:dyDescent="0.2">
      <c r="A326" t="s">
        <v>369</v>
      </c>
      <c r="B326">
        <v>31</v>
      </c>
      <c r="C326" t="s">
        <v>14</v>
      </c>
      <c r="D326" t="s">
        <v>71</v>
      </c>
      <c r="E326" t="s">
        <v>16</v>
      </c>
      <c r="F326" s="1">
        <v>43672</v>
      </c>
      <c r="G326" t="s">
        <v>24</v>
      </c>
      <c r="H326">
        <v>28456.698557446802</v>
      </c>
      <c r="I326" t="s">
        <v>36</v>
      </c>
      <c r="J326" s="1">
        <v>43675</v>
      </c>
      <c r="K326" t="s">
        <v>53</v>
      </c>
      <c r="L326" t="s">
        <v>27</v>
      </c>
      <c r="M326">
        <f>YEAR(Table2[[#This Row],[Date of Admission]])</f>
        <v>2019</v>
      </c>
    </row>
    <row r="327" spans="1:13" x14ac:dyDescent="0.2">
      <c r="A327" t="s">
        <v>370</v>
      </c>
      <c r="B327">
        <v>81</v>
      </c>
      <c r="C327" t="s">
        <v>29</v>
      </c>
      <c r="D327" t="s">
        <v>39</v>
      </c>
      <c r="E327" t="s">
        <v>16</v>
      </c>
      <c r="F327" s="1">
        <v>44747</v>
      </c>
      <c r="G327" t="s">
        <v>47</v>
      </c>
      <c r="H327">
        <v>33870.120904948497</v>
      </c>
      <c r="I327" t="s">
        <v>36</v>
      </c>
      <c r="J327" s="1">
        <v>44750</v>
      </c>
      <c r="K327" t="s">
        <v>26</v>
      </c>
      <c r="L327" t="s">
        <v>37</v>
      </c>
      <c r="M327">
        <f>YEAR(Table2[[#This Row],[Date of Admission]])</f>
        <v>2022</v>
      </c>
    </row>
    <row r="328" spans="1:13" x14ac:dyDescent="0.2">
      <c r="A328" t="s">
        <v>371</v>
      </c>
      <c r="B328">
        <v>61</v>
      </c>
      <c r="C328" t="s">
        <v>29</v>
      </c>
      <c r="D328" t="s">
        <v>34</v>
      </c>
      <c r="E328" t="s">
        <v>35</v>
      </c>
      <c r="F328" s="1">
        <v>43706</v>
      </c>
      <c r="G328" t="s">
        <v>24</v>
      </c>
      <c r="H328">
        <v>2303.9984227566601</v>
      </c>
      <c r="I328" t="s">
        <v>36</v>
      </c>
      <c r="J328" s="1">
        <v>43715</v>
      </c>
      <c r="K328" t="s">
        <v>19</v>
      </c>
      <c r="L328" t="s">
        <v>20</v>
      </c>
      <c r="M328">
        <f>YEAR(Table2[[#This Row],[Date of Admission]])</f>
        <v>2019</v>
      </c>
    </row>
    <row r="329" spans="1:13" x14ac:dyDescent="0.2">
      <c r="A329" t="s">
        <v>372</v>
      </c>
      <c r="B329">
        <v>52</v>
      </c>
      <c r="C329" t="s">
        <v>14</v>
      </c>
      <c r="D329" t="s">
        <v>63</v>
      </c>
      <c r="E329" t="s">
        <v>52</v>
      </c>
      <c r="F329" s="1">
        <v>45414</v>
      </c>
      <c r="G329" t="s">
        <v>31</v>
      </c>
      <c r="H329">
        <v>1878.00730181789</v>
      </c>
      <c r="I329" t="s">
        <v>36</v>
      </c>
      <c r="J329" s="1">
        <v>45433</v>
      </c>
      <c r="K329" t="s">
        <v>19</v>
      </c>
      <c r="L329" t="s">
        <v>37</v>
      </c>
      <c r="M329">
        <f>YEAR(Table2[[#This Row],[Date of Admission]])</f>
        <v>2024</v>
      </c>
    </row>
    <row r="330" spans="1:13" x14ac:dyDescent="0.2">
      <c r="A330" t="s">
        <v>373</v>
      </c>
      <c r="B330">
        <v>25</v>
      </c>
      <c r="C330" t="s">
        <v>14</v>
      </c>
      <c r="D330" t="s">
        <v>63</v>
      </c>
      <c r="E330" t="s">
        <v>42</v>
      </c>
      <c r="F330" s="1">
        <v>43977</v>
      </c>
      <c r="G330" t="s">
        <v>17</v>
      </c>
      <c r="H330">
        <v>19160.993728263998</v>
      </c>
      <c r="I330" t="s">
        <v>36</v>
      </c>
      <c r="J330" s="1">
        <v>43982</v>
      </c>
      <c r="K330" t="s">
        <v>40</v>
      </c>
      <c r="L330" t="s">
        <v>20</v>
      </c>
      <c r="M330">
        <f>YEAR(Table2[[#This Row],[Date of Admission]])</f>
        <v>2020</v>
      </c>
    </row>
    <row r="331" spans="1:13" x14ac:dyDescent="0.2">
      <c r="A331" t="s">
        <v>374</v>
      </c>
      <c r="B331">
        <v>56</v>
      </c>
      <c r="C331" t="s">
        <v>14</v>
      </c>
      <c r="D331" t="s">
        <v>63</v>
      </c>
      <c r="E331" t="s">
        <v>16</v>
      </c>
      <c r="F331" s="1">
        <v>45371</v>
      </c>
      <c r="G331" t="s">
        <v>17</v>
      </c>
      <c r="H331">
        <v>5811.6298510377301</v>
      </c>
      <c r="I331" t="s">
        <v>18</v>
      </c>
      <c r="J331" s="1">
        <v>45388</v>
      </c>
      <c r="K331" t="s">
        <v>19</v>
      </c>
      <c r="L331" t="s">
        <v>20</v>
      </c>
      <c r="M331">
        <f>YEAR(Table2[[#This Row],[Date of Admission]])</f>
        <v>2024</v>
      </c>
    </row>
    <row r="332" spans="1:13" x14ac:dyDescent="0.2">
      <c r="A332" t="s">
        <v>375</v>
      </c>
      <c r="B332">
        <v>44</v>
      </c>
      <c r="C332" t="s">
        <v>14</v>
      </c>
      <c r="D332" t="s">
        <v>34</v>
      </c>
      <c r="E332" t="s">
        <v>35</v>
      </c>
      <c r="F332" s="1">
        <v>45378</v>
      </c>
      <c r="G332" t="s">
        <v>24</v>
      </c>
      <c r="H332">
        <v>22868.530342201499</v>
      </c>
      <c r="I332" t="s">
        <v>36</v>
      </c>
      <c r="J332" s="1">
        <v>45390</v>
      </c>
      <c r="K332" t="s">
        <v>26</v>
      </c>
      <c r="L332" t="s">
        <v>37</v>
      </c>
      <c r="M332">
        <f>YEAR(Table2[[#This Row],[Date of Admission]])</f>
        <v>2024</v>
      </c>
    </row>
    <row r="333" spans="1:13" x14ac:dyDescent="0.2">
      <c r="A333" t="s">
        <v>376</v>
      </c>
      <c r="B333">
        <v>30</v>
      </c>
      <c r="C333" t="s">
        <v>29</v>
      </c>
      <c r="D333" t="s">
        <v>34</v>
      </c>
      <c r="E333" t="s">
        <v>59</v>
      </c>
      <c r="F333" s="1">
        <v>44277</v>
      </c>
      <c r="G333" t="s">
        <v>17</v>
      </c>
      <c r="H333">
        <v>48281.911940192003</v>
      </c>
      <c r="I333" t="s">
        <v>18</v>
      </c>
      <c r="J333" s="1">
        <v>44280</v>
      </c>
      <c r="K333" t="s">
        <v>26</v>
      </c>
      <c r="L333" t="s">
        <v>37</v>
      </c>
      <c r="M333">
        <f>YEAR(Table2[[#This Row],[Date of Admission]])</f>
        <v>2021</v>
      </c>
    </row>
    <row r="334" spans="1:13" x14ac:dyDescent="0.2">
      <c r="A334" t="s">
        <v>377</v>
      </c>
      <c r="B334">
        <v>82</v>
      </c>
      <c r="C334" t="s">
        <v>14</v>
      </c>
      <c r="D334" t="s">
        <v>71</v>
      </c>
      <c r="E334" t="s">
        <v>16</v>
      </c>
      <c r="F334" s="1">
        <v>44107</v>
      </c>
      <c r="G334" t="s">
        <v>24</v>
      </c>
      <c r="H334">
        <v>30562.567625200401</v>
      </c>
      <c r="I334" t="s">
        <v>25</v>
      </c>
      <c r="J334" s="1">
        <v>44132</v>
      </c>
      <c r="K334" t="s">
        <v>19</v>
      </c>
      <c r="L334" t="s">
        <v>37</v>
      </c>
      <c r="M334">
        <f>YEAR(Table2[[#This Row],[Date of Admission]])</f>
        <v>2020</v>
      </c>
    </row>
    <row r="335" spans="1:13" x14ac:dyDescent="0.2">
      <c r="A335" t="s">
        <v>378</v>
      </c>
      <c r="B335">
        <v>67</v>
      </c>
      <c r="C335" t="s">
        <v>14</v>
      </c>
      <c r="D335" t="s">
        <v>63</v>
      </c>
      <c r="E335" t="s">
        <v>23</v>
      </c>
      <c r="F335" s="1">
        <v>45063</v>
      </c>
      <c r="G335" t="s">
        <v>24</v>
      </c>
      <c r="H335">
        <v>24293.633025826599</v>
      </c>
      <c r="I335" t="s">
        <v>25</v>
      </c>
      <c r="J335" s="1">
        <v>45077</v>
      </c>
      <c r="K335" t="s">
        <v>26</v>
      </c>
      <c r="L335" t="s">
        <v>20</v>
      </c>
      <c r="M335">
        <f>YEAR(Table2[[#This Row],[Date of Admission]])</f>
        <v>2023</v>
      </c>
    </row>
    <row r="336" spans="1:13" x14ac:dyDescent="0.2">
      <c r="A336" t="s">
        <v>379</v>
      </c>
      <c r="B336">
        <v>41</v>
      </c>
      <c r="C336" t="s">
        <v>14</v>
      </c>
      <c r="D336" t="s">
        <v>22</v>
      </c>
      <c r="E336" t="s">
        <v>59</v>
      </c>
      <c r="F336" s="1">
        <v>44785</v>
      </c>
      <c r="G336" t="s">
        <v>31</v>
      </c>
      <c r="H336">
        <v>5878.7788533232597</v>
      </c>
      <c r="I336" t="s">
        <v>25</v>
      </c>
      <c r="J336" s="1">
        <v>44804</v>
      </c>
      <c r="K336" t="s">
        <v>26</v>
      </c>
      <c r="L336" t="s">
        <v>37</v>
      </c>
      <c r="M336">
        <f>YEAR(Table2[[#This Row],[Date of Admission]])</f>
        <v>2022</v>
      </c>
    </row>
    <row r="337" spans="1:13" x14ac:dyDescent="0.2">
      <c r="A337" t="s">
        <v>380</v>
      </c>
      <c r="B337">
        <v>84</v>
      </c>
      <c r="C337" t="s">
        <v>14</v>
      </c>
      <c r="D337" t="s">
        <v>30</v>
      </c>
      <c r="E337" t="s">
        <v>59</v>
      </c>
      <c r="F337" s="1">
        <v>44002</v>
      </c>
      <c r="G337" t="s">
        <v>43</v>
      </c>
      <c r="H337">
        <v>28410.438767927299</v>
      </c>
      <c r="I337" t="s">
        <v>18</v>
      </c>
      <c r="J337" s="1">
        <v>44004</v>
      </c>
      <c r="K337" t="s">
        <v>26</v>
      </c>
      <c r="L337" t="s">
        <v>37</v>
      </c>
      <c r="M337">
        <f>YEAR(Table2[[#This Row],[Date of Admission]])</f>
        <v>2020</v>
      </c>
    </row>
    <row r="338" spans="1:13" x14ac:dyDescent="0.2">
      <c r="A338" t="s">
        <v>381</v>
      </c>
      <c r="B338">
        <v>85</v>
      </c>
      <c r="C338" t="s">
        <v>29</v>
      </c>
      <c r="D338" t="s">
        <v>39</v>
      </c>
      <c r="E338" t="s">
        <v>42</v>
      </c>
      <c r="F338" s="1">
        <v>45036</v>
      </c>
      <c r="G338" t="s">
        <v>24</v>
      </c>
      <c r="H338">
        <v>27414.018804721702</v>
      </c>
      <c r="I338" t="s">
        <v>25</v>
      </c>
      <c r="J338" s="1">
        <v>45051</v>
      </c>
      <c r="K338" t="s">
        <v>26</v>
      </c>
      <c r="L338" t="s">
        <v>20</v>
      </c>
      <c r="M338">
        <f>YEAR(Table2[[#This Row],[Date of Admission]])</f>
        <v>2023</v>
      </c>
    </row>
    <row r="339" spans="1:13" x14ac:dyDescent="0.2">
      <c r="A339" t="s">
        <v>382</v>
      </c>
      <c r="B339">
        <v>26</v>
      </c>
      <c r="C339" t="s">
        <v>29</v>
      </c>
      <c r="D339" t="s">
        <v>30</v>
      </c>
      <c r="E339" t="s">
        <v>52</v>
      </c>
      <c r="F339" s="1">
        <v>43766</v>
      </c>
      <c r="G339" t="s">
        <v>31</v>
      </c>
      <c r="H339">
        <v>5826.2440270541301</v>
      </c>
      <c r="I339" t="s">
        <v>25</v>
      </c>
      <c r="J339" s="1">
        <v>43790</v>
      </c>
      <c r="K339" t="s">
        <v>40</v>
      </c>
      <c r="L339" t="s">
        <v>37</v>
      </c>
      <c r="M339">
        <f>YEAR(Table2[[#This Row],[Date of Admission]])</f>
        <v>2019</v>
      </c>
    </row>
    <row r="340" spans="1:13" x14ac:dyDescent="0.2">
      <c r="A340" t="s">
        <v>383</v>
      </c>
      <c r="B340">
        <v>49</v>
      </c>
      <c r="C340" t="s">
        <v>29</v>
      </c>
      <c r="D340" t="s">
        <v>34</v>
      </c>
      <c r="E340" t="s">
        <v>35</v>
      </c>
      <c r="F340" s="1">
        <v>44439</v>
      </c>
      <c r="G340" t="s">
        <v>47</v>
      </c>
      <c r="H340">
        <v>2133.7372022713898</v>
      </c>
      <c r="I340" t="s">
        <v>18</v>
      </c>
      <c r="J340" s="1">
        <v>44444</v>
      </c>
      <c r="K340" t="s">
        <v>26</v>
      </c>
      <c r="L340" t="s">
        <v>20</v>
      </c>
      <c r="M340">
        <f>YEAR(Table2[[#This Row],[Date of Admission]])</f>
        <v>2021</v>
      </c>
    </row>
    <row r="341" spans="1:13" x14ac:dyDescent="0.2">
      <c r="A341" t="s">
        <v>384</v>
      </c>
      <c r="B341">
        <v>47</v>
      </c>
      <c r="C341" t="s">
        <v>29</v>
      </c>
      <c r="D341" t="s">
        <v>22</v>
      </c>
      <c r="E341" t="s">
        <v>52</v>
      </c>
      <c r="F341" s="1">
        <v>44391</v>
      </c>
      <c r="G341" t="s">
        <v>17</v>
      </c>
      <c r="H341">
        <v>34262.609469233998</v>
      </c>
      <c r="I341" t="s">
        <v>18</v>
      </c>
      <c r="J341" s="1">
        <v>44414</v>
      </c>
      <c r="K341" t="s">
        <v>40</v>
      </c>
      <c r="L341" t="s">
        <v>27</v>
      </c>
      <c r="M341">
        <f>YEAR(Table2[[#This Row],[Date of Admission]])</f>
        <v>2021</v>
      </c>
    </row>
    <row r="342" spans="1:13" x14ac:dyDescent="0.2">
      <c r="A342" t="s">
        <v>385</v>
      </c>
      <c r="B342">
        <v>69</v>
      </c>
      <c r="C342" t="s">
        <v>14</v>
      </c>
      <c r="D342" t="s">
        <v>30</v>
      </c>
      <c r="E342" t="s">
        <v>35</v>
      </c>
      <c r="F342" s="1">
        <v>44582</v>
      </c>
      <c r="G342" t="s">
        <v>31</v>
      </c>
      <c r="H342">
        <v>44897.049014850498</v>
      </c>
      <c r="I342" t="s">
        <v>36</v>
      </c>
      <c r="J342" s="1">
        <v>44594</v>
      </c>
      <c r="K342" t="s">
        <v>19</v>
      </c>
      <c r="L342" t="s">
        <v>20</v>
      </c>
      <c r="M342">
        <f>YEAR(Table2[[#This Row],[Date of Admission]])</f>
        <v>2022</v>
      </c>
    </row>
    <row r="343" spans="1:13" x14ac:dyDescent="0.2">
      <c r="A343" t="s">
        <v>386</v>
      </c>
      <c r="B343">
        <v>78</v>
      </c>
      <c r="C343" t="s">
        <v>29</v>
      </c>
      <c r="D343" t="s">
        <v>34</v>
      </c>
      <c r="E343" t="s">
        <v>42</v>
      </c>
      <c r="F343" s="1">
        <v>43724</v>
      </c>
      <c r="G343" t="s">
        <v>47</v>
      </c>
      <c r="H343">
        <v>22230.122763982901</v>
      </c>
      <c r="I343" t="s">
        <v>18</v>
      </c>
      <c r="J343" s="1">
        <v>43754</v>
      </c>
      <c r="K343" t="s">
        <v>40</v>
      </c>
      <c r="L343" t="s">
        <v>20</v>
      </c>
      <c r="M343">
        <f>YEAR(Table2[[#This Row],[Date of Admission]])</f>
        <v>2019</v>
      </c>
    </row>
    <row r="344" spans="1:13" x14ac:dyDescent="0.2">
      <c r="A344" t="s">
        <v>387</v>
      </c>
      <c r="B344">
        <v>29</v>
      </c>
      <c r="C344" t="s">
        <v>14</v>
      </c>
      <c r="D344" t="s">
        <v>39</v>
      </c>
      <c r="E344" t="s">
        <v>35</v>
      </c>
      <c r="F344" s="1">
        <v>44946</v>
      </c>
      <c r="G344" t="s">
        <v>47</v>
      </c>
      <c r="H344">
        <v>32895.101891303202</v>
      </c>
      <c r="I344" t="s">
        <v>18</v>
      </c>
      <c r="J344" s="1">
        <v>44955</v>
      </c>
      <c r="K344" t="s">
        <v>32</v>
      </c>
      <c r="L344" t="s">
        <v>37</v>
      </c>
      <c r="M344">
        <f>YEAR(Table2[[#This Row],[Date of Admission]])</f>
        <v>2023</v>
      </c>
    </row>
    <row r="345" spans="1:13" x14ac:dyDescent="0.2">
      <c r="A345" t="s">
        <v>388</v>
      </c>
      <c r="B345">
        <v>73</v>
      </c>
      <c r="C345" t="s">
        <v>14</v>
      </c>
      <c r="D345" t="s">
        <v>22</v>
      </c>
      <c r="E345" t="s">
        <v>16</v>
      </c>
      <c r="F345" s="1">
        <v>43834</v>
      </c>
      <c r="G345" t="s">
        <v>24</v>
      </c>
      <c r="H345">
        <v>5349.0561163119701</v>
      </c>
      <c r="I345" t="s">
        <v>25</v>
      </c>
      <c r="J345" s="1">
        <v>43846</v>
      </c>
      <c r="K345" t="s">
        <v>19</v>
      </c>
      <c r="L345" t="s">
        <v>20</v>
      </c>
      <c r="M345">
        <f>YEAR(Table2[[#This Row],[Date of Admission]])</f>
        <v>2020</v>
      </c>
    </row>
    <row r="346" spans="1:13" x14ac:dyDescent="0.2">
      <c r="A346" t="s">
        <v>389</v>
      </c>
      <c r="B346">
        <v>53</v>
      </c>
      <c r="C346" t="s">
        <v>14</v>
      </c>
      <c r="D346" t="s">
        <v>45</v>
      </c>
      <c r="E346" t="s">
        <v>23</v>
      </c>
      <c r="F346" s="1">
        <v>45354</v>
      </c>
      <c r="G346" t="s">
        <v>47</v>
      </c>
      <c r="H346">
        <v>23235.854410034401</v>
      </c>
      <c r="I346" t="s">
        <v>36</v>
      </c>
      <c r="J346" s="1">
        <v>45366</v>
      </c>
      <c r="K346" t="s">
        <v>32</v>
      </c>
      <c r="L346" t="s">
        <v>27</v>
      </c>
      <c r="M346">
        <f>YEAR(Table2[[#This Row],[Date of Admission]])</f>
        <v>2024</v>
      </c>
    </row>
    <row r="347" spans="1:13" x14ac:dyDescent="0.2">
      <c r="A347" t="s">
        <v>390</v>
      </c>
      <c r="B347">
        <v>34</v>
      </c>
      <c r="C347" t="s">
        <v>14</v>
      </c>
      <c r="D347" t="s">
        <v>39</v>
      </c>
      <c r="E347" t="s">
        <v>35</v>
      </c>
      <c r="F347" s="1">
        <v>43652</v>
      </c>
      <c r="G347" t="s">
        <v>31</v>
      </c>
      <c r="H347">
        <v>25683.279862215601</v>
      </c>
      <c r="I347" t="s">
        <v>36</v>
      </c>
      <c r="J347" s="1">
        <v>43678</v>
      </c>
      <c r="K347" t="s">
        <v>19</v>
      </c>
      <c r="L347" t="s">
        <v>27</v>
      </c>
      <c r="M347">
        <f>YEAR(Table2[[#This Row],[Date of Admission]])</f>
        <v>2019</v>
      </c>
    </row>
    <row r="348" spans="1:13" x14ac:dyDescent="0.2">
      <c r="A348" t="s">
        <v>391</v>
      </c>
      <c r="B348">
        <v>38</v>
      </c>
      <c r="C348" t="s">
        <v>29</v>
      </c>
      <c r="D348" t="s">
        <v>45</v>
      </c>
      <c r="E348" t="s">
        <v>23</v>
      </c>
      <c r="F348" s="1">
        <v>44896</v>
      </c>
      <c r="G348" t="s">
        <v>47</v>
      </c>
      <c r="H348">
        <v>45560.281838725801</v>
      </c>
      <c r="I348" t="s">
        <v>36</v>
      </c>
      <c r="J348" s="1">
        <v>44898</v>
      </c>
      <c r="K348" t="s">
        <v>26</v>
      </c>
      <c r="L348" t="s">
        <v>20</v>
      </c>
      <c r="M348">
        <f>YEAR(Table2[[#This Row],[Date of Admission]])</f>
        <v>2022</v>
      </c>
    </row>
    <row r="349" spans="1:13" x14ac:dyDescent="0.2">
      <c r="A349" t="s">
        <v>392</v>
      </c>
      <c r="B349">
        <v>70</v>
      </c>
      <c r="C349" t="s">
        <v>29</v>
      </c>
      <c r="D349" t="s">
        <v>15</v>
      </c>
      <c r="E349" t="s">
        <v>59</v>
      </c>
      <c r="F349" s="1">
        <v>43961</v>
      </c>
      <c r="G349" t="s">
        <v>43</v>
      </c>
      <c r="H349">
        <v>16850.886312192699</v>
      </c>
      <c r="I349" t="s">
        <v>18</v>
      </c>
      <c r="J349" s="1">
        <v>43981</v>
      </c>
      <c r="K349" t="s">
        <v>40</v>
      </c>
      <c r="L349" t="s">
        <v>37</v>
      </c>
      <c r="M349">
        <f>YEAR(Table2[[#This Row],[Date of Admission]])</f>
        <v>2020</v>
      </c>
    </row>
    <row r="350" spans="1:13" x14ac:dyDescent="0.2">
      <c r="A350" t="s">
        <v>393</v>
      </c>
      <c r="B350">
        <v>59</v>
      </c>
      <c r="C350" t="s">
        <v>29</v>
      </c>
      <c r="D350" t="s">
        <v>39</v>
      </c>
      <c r="E350" t="s">
        <v>52</v>
      </c>
      <c r="F350" s="1">
        <v>45361</v>
      </c>
      <c r="G350" t="s">
        <v>31</v>
      </c>
      <c r="H350">
        <v>34365.9971239597</v>
      </c>
      <c r="I350" t="s">
        <v>36</v>
      </c>
      <c r="J350" s="1">
        <v>45367</v>
      </c>
      <c r="K350" t="s">
        <v>26</v>
      </c>
      <c r="L350" t="s">
        <v>27</v>
      </c>
      <c r="M350">
        <f>YEAR(Table2[[#This Row],[Date of Admission]])</f>
        <v>2024</v>
      </c>
    </row>
    <row r="351" spans="1:13" x14ac:dyDescent="0.2">
      <c r="A351" t="s">
        <v>394</v>
      </c>
      <c r="B351">
        <v>43</v>
      </c>
      <c r="C351" t="s">
        <v>14</v>
      </c>
      <c r="D351" t="s">
        <v>39</v>
      </c>
      <c r="E351" t="s">
        <v>59</v>
      </c>
      <c r="F351" s="1">
        <v>43844</v>
      </c>
      <c r="G351" t="s">
        <v>43</v>
      </c>
      <c r="H351">
        <v>11968.023816835101</v>
      </c>
      <c r="I351" t="s">
        <v>18</v>
      </c>
      <c r="J351" s="1">
        <v>43849</v>
      </c>
      <c r="K351" t="s">
        <v>19</v>
      </c>
      <c r="L351" t="s">
        <v>27</v>
      </c>
      <c r="M351">
        <f>YEAR(Table2[[#This Row],[Date of Admission]])</f>
        <v>2020</v>
      </c>
    </row>
    <row r="352" spans="1:13" x14ac:dyDescent="0.2">
      <c r="A352" t="s">
        <v>395</v>
      </c>
      <c r="B352">
        <v>49</v>
      </c>
      <c r="C352" t="s">
        <v>14</v>
      </c>
      <c r="D352" t="s">
        <v>15</v>
      </c>
      <c r="E352" t="s">
        <v>35</v>
      </c>
      <c r="F352" s="1">
        <v>43989</v>
      </c>
      <c r="G352" t="s">
        <v>47</v>
      </c>
      <c r="H352">
        <v>10076.8925329912</v>
      </c>
      <c r="I352" t="s">
        <v>36</v>
      </c>
      <c r="J352" s="1">
        <v>44008</v>
      </c>
      <c r="K352" t="s">
        <v>40</v>
      </c>
      <c r="L352" t="s">
        <v>27</v>
      </c>
      <c r="M352">
        <f>YEAR(Table2[[#This Row],[Date of Admission]])</f>
        <v>2020</v>
      </c>
    </row>
    <row r="353" spans="1:13" x14ac:dyDescent="0.2">
      <c r="A353" t="s">
        <v>396</v>
      </c>
      <c r="B353">
        <v>63</v>
      </c>
      <c r="C353" t="s">
        <v>14</v>
      </c>
      <c r="D353" t="s">
        <v>45</v>
      </c>
      <c r="E353" t="s">
        <v>42</v>
      </c>
      <c r="F353" s="1">
        <v>44146</v>
      </c>
      <c r="G353" t="s">
        <v>17</v>
      </c>
      <c r="H353">
        <v>44582.817359259199</v>
      </c>
      <c r="I353" t="s">
        <v>36</v>
      </c>
      <c r="J353" s="1">
        <v>44165</v>
      </c>
      <c r="K353" t="s">
        <v>40</v>
      </c>
      <c r="L353" t="s">
        <v>37</v>
      </c>
      <c r="M353">
        <f>YEAR(Table2[[#This Row],[Date of Admission]])</f>
        <v>2020</v>
      </c>
    </row>
    <row r="354" spans="1:13" x14ac:dyDescent="0.2">
      <c r="A354" t="s">
        <v>397</v>
      </c>
      <c r="B354">
        <v>40</v>
      </c>
      <c r="C354" t="s">
        <v>29</v>
      </c>
      <c r="D354" t="s">
        <v>34</v>
      </c>
      <c r="E354" t="s">
        <v>42</v>
      </c>
      <c r="F354" s="1">
        <v>44323</v>
      </c>
      <c r="G354" t="s">
        <v>24</v>
      </c>
      <c r="H354">
        <v>30334.989066050501</v>
      </c>
      <c r="I354" t="s">
        <v>18</v>
      </c>
      <c r="J354" s="1">
        <v>44347</v>
      </c>
      <c r="K354" t="s">
        <v>32</v>
      </c>
      <c r="L354" t="s">
        <v>37</v>
      </c>
      <c r="M354">
        <f>YEAR(Table2[[#This Row],[Date of Admission]])</f>
        <v>2021</v>
      </c>
    </row>
    <row r="355" spans="1:13" x14ac:dyDescent="0.2">
      <c r="A355" t="s">
        <v>398</v>
      </c>
      <c r="B355">
        <v>80</v>
      </c>
      <c r="C355" t="s">
        <v>14</v>
      </c>
      <c r="D355" t="s">
        <v>15</v>
      </c>
      <c r="E355" t="s">
        <v>59</v>
      </c>
      <c r="F355" s="1">
        <v>44390</v>
      </c>
      <c r="G355" t="s">
        <v>47</v>
      </c>
      <c r="H355">
        <v>6196.6351360699</v>
      </c>
      <c r="I355" t="s">
        <v>18</v>
      </c>
      <c r="J355" s="1">
        <v>44413</v>
      </c>
      <c r="K355" t="s">
        <v>40</v>
      </c>
      <c r="L355" t="s">
        <v>20</v>
      </c>
      <c r="M355">
        <f>YEAR(Table2[[#This Row],[Date of Admission]])</f>
        <v>2021</v>
      </c>
    </row>
    <row r="356" spans="1:13" x14ac:dyDescent="0.2">
      <c r="A356" t="s">
        <v>399</v>
      </c>
      <c r="B356">
        <v>74</v>
      </c>
      <c r="C356" t="s">
        <v>29</v>
      </c>
      <c r="D356" t="s">
        <v>63</v>
      </c>
      <c r="E356" t="s">
        <v>16</v>
      </c>
      <c r="F356" s="1">
        <v>45376</v>
      </c>
      <c r="G356" t="s">
        <v>47</v>
      </c>
      <c r="H356">
        <v>45438.906946369301</v>
      </c>
      <c r="I356" t="s">
        <v>25</v>
      </c>
      <c r="J356" s="1">
        <v>45385</v>
      </c>
      <c r="K356" t="s">
        <v>53</v>
      </c>
      <c r="L356" t="s">
        <v>20</v>
      </c>
      <c r="M356">
        <f>YEAR(Table2[[#This Row],[Date of Admission]])</f>
        <v>2024</v>
      </c>
    </row>
    <row r="357" spans="1:13" x14ac:dyDescent="0.2">
      <c r="A357" t="s">
        <v>400</v>
      </c>
      <c r="B357">
        <v>70</v>
      </c>
      <c r="C357" t="s">
        <v>14</v>
      </c>
      <c r="D357" t="s">
        <v>34</v>
      </c>
      <c r="E357" t="s">
        <v>35</v>
      </c>
      <c r="F357" s="1">
        <v>43915</v>
      </c>
      <c r="G357" t="s">
        <v>31</v>
      </c>
      <c r="H357">
        <v>43707.179242198101</v>
      </c>
      <c r="I357" t="s">
        <v>18</v>
      </c>
      <c r="J357" s="1">
        <v>43923</v>
      </c>
      <c r="K357" t="s">
        <v>53</v>
      </c>
      <c r="L357" t="s">
        <v>20</v>
      </c>
      <c r="M357">
        <f>YEAR(Table2[[#This Row],[Date of Admission]])</f>
        <v>2020</v>
      </c>
    </row>
    <row r="358" spans="1:13" x14ac:dyDescent="0.2">
      <c r="A358" t="s">
        <v>401</v>
      </c>
      <c r="B358">
        <v>39</v>
      </c>
      <c r="C358" t="s">
        <v>29</v>
      </c>
      <c r="D358" t="s">
        <v>45</v>
      </c>
      <c r="E358" t="s">
        <v>35</v>
      </c>
      <c r="F358" s="1">
        <v>45060</v>
      </c>
      <c r="G358" t="s">
        <v>17</v>
      </c>
      <c r="H358">
        <v>20105.0299292768</v>
      </c>
      <c r="I358" t="s">
        <v>18</v>
      </c>
      <c r="J358" s="1">
        <v>45066</v>
      </c>
      <c r="K358" t="s">
        <v>40</v>
      </c>
      <c r="L358" t="s">
        <v>20</v>
      </c>
      <c r="M358">
        <f>YEAR(Table2[[#This Row],[Date of Admission]])</f>
        <v>2023</v>
      </c>
    </row>
    <row r="359" spans="1:13" x14ac:dyDescent="0.2">
      <c r="A359" t="s">
        <v>402</v>
      </c>
      <c r="B359">
        <v>47</v>
      </c>
      <c r="C359" t="s">
        <v>29</v>
      </c>
      <c r="D359" t="s">
        <v>39</v>
      </c>
      <c r="E359" t="s">
        <v>35</v>
      </c>
      <c r="F359" s="1">
        <v>44884</v>
      </c>
      <c r="G359" t="s">
        <v>43</v>
      </c>
      <c r="H359">
        <v>11938.0676946801</v>
      </c>
      <c r="I359" t="s">
        <v>18</v>
      </c>
      <c r="J359" s="1">
        <v>44888</v>
      </c>
      <c r="K359" t="s">
        <v>40</v>
      </c>
      <c r="L359" t="s">
        <v>20</v>
      </c>
      <c r="M359">
        <f>YEAR(Table2[[#This Row],[Date of Admission]])</f>
        <v>2022</v>
      </c>
    </row>
    <row r="360" spans="1:13" x14ac:dyDescent="0.2">
      <c r="A360" t="s">
        <v>403</v>
      </c>
      <c r="B360">
        <v>49</v>
      </c>
      <c r="C360" t="s">
        <v>14</v>
      </c>
      <c r="D360" t="s">
        <v>39</v>
      </c>
      <c r="E360" t="s">
        <v>35</v>
      </c>
      <c r="F360" s="1">
        <v>44265</v>
      </c>
      <c r="G360" t="s">
        <v>47</v>
      </c>
      <c r="H360">
        <v>10836.2112173349</v>
      </c>
      <c r="I360" t="s">
        <v>25</v>
      </c>
      <c r="J360" s="1">
        <v>44285</v>
      </c>
      <c r="K360" t="s">
        <v>53</v>
      </c>
      <c r="L360" t="s">
        <v>37</v>
      </c>
      <c r="M360">
        <f>YEAR(Table2[[#This Row],[Date of Admission]])</f>
        <v>2021</v>
      </c>
    </row>
    <row r="361" spans="1:13" x14ac:dyDescent="0.2">
      <c r="A361" t="s">
        <v>404</v>
      </c>
      <c r="B361">
        <v>64</v>
      </c>
      <c r="C361" t="s">
        <v>14</v>
      </c>
      <c r="D361" t="s">
        <v>30</v>
      </c>
      <c r="E361" t="s">
        <v>23</v>
      </c>
      <c r="F361" s="1">
        <v>44150</v>
      </c>
      <c r="G361" t="s">
        <v>47</v>
      </c>
      <c r="H361">
        <v>40037.479986778701</v>
      </c>
      <c r="I361" t="s">
        <v>18</v>
      </c>
      <c r="J361" s="1">
        <v>44155</v>
      </c>
      <c r="K361" t="s">
        <v>26</v>
      </c>
      <c r="L361" t="s">
        <v>27</v>
      </c>
      <c r="M361">
        <f>YEAR(Table2[[#This Row],[Date of Admission]])</f>
        <v>2020</v>
      </c>
    </row>
    <row r="362" spans="1:13" x14ac:dyDescent="0.2">
      <c r="A362" t="s">
        <v>405</v>
      </c>
      <c r="B362">
        <v>40</v>
      </c>
      <c r="C362" t="s">
        <v>14</v>
      </c>
      <c r="D362" t="s">
        <v>22</v>
      </c>
      <c r="E362" t="s">
        <v>42</v>
      </c>
      <c r="F362" s="1">
        <v>45319</v>
      </c>
      <c r="G362" t="s">
        <v>24</v>
      </c>
      <c r="H362">
        <v>42959.299814318198</v>
      </c>
      <c r="I362" t="s">
        <v>36</v>
      </c>
      <c r="J362" s="1">
        <v>45343</v>
      </c>
      <c r="K362" t="s">
        <v>19</v>
      </c>
      <c r="L362" t="s">
        <v>37</v>
      </c>
      <c r="M362">
        <f>YEAR(Table2[[#This Row],[Date of Admission]])</f>
        <v>2024</v>
      </c>
    </row>
    <row r="363" spans="1:13" x14ac:dyDescent="0.2">
      <c r="A363" t="s">
        <v>406</v>
      </c>
      <c r="B363">
        <v>77</v>
      </c>
      <c r="C363" t="s">
        <v>14</v>
      </c>
      <c r="D363" t="s">
        <v>30</v>
      </c>
      <c r="E363" t="s">
        <v>59</v>
      </c>
      <c r="F363" s="1">
        <v>44019</v>
      </c>
      <c r="G363" t="s">
        <v>24</v>
      </c>
      <c r="H363">
        <v>40196.825277804797</v>
      </c>
      <c r="I363" t="s">
        <v>18</v>
      </c>
      <c r="J363" s="1">
        <v>44048</v>
      </c>
      <c r="K363" t="s">
        <v>19</v>
      </c>
      <c r="L363" t="s">
        <v>37</v>
      </c>
      <c r="M363">
        <f>YEAR(Table2[[#This Row],[Date of Admission]])</f>
        <v>2020</v>
      </c>
    </row>
    <row r="364" spans="1:13" x14ac:dyDescent="0.2">
      <c r="A364" t="s">
        <v>407</v>
      </c>
      <c r="B364">
        <v>61</v>
      </c>
      <c r="C364" t="s">
        <v>14</v>
      </c>
      <c r="D364" t="s">
        <v>45</v>
      </c>
      <c r="E364" t="s">
        <v>52</v>
      </c>
      <c r="F364" s="1">
        <v>44948</v>
      </c>
      <c r="G364" t="s">
        <v>31</v>
      </c>
      <c r="H364">
        <v>39827.663417236101</v>
      </c>
      <c r="I364" t="s">
        <v>36</v>
      </c>
      <c r="J364" s="1">
        <v>44953</v>
      </c>
      <c r="K364" t="s">
        <v>26</v>
      </c>
      <c r="L364" t="s">
        <v>27</v>
      </c>
      <c r="M364">
        <f>YEAR(Table2[[#This Row],[Date of Admission]])</f>
        <v>2023</v>
      </c>
    </row>
    <row r="365" spans="1:13" x14ac:dyDescent="0.2">
      <c r="A365" t="s">
        <v>408</v>
      </c>
      <c r="B365">
        <v>36</v>
      </c>
      <c r="C365" t="s">
        <v>29</v>
      </c>
      <c r="D365" t="s">
        <v>30</v>
      </c>
      <c r="E365" t="s">
        <v>42</v>
      </c>
      <c r="F365" s="1">
        <v>43961</v>
      </c>
      <c r="G365" t="s">
        <v>31</v>
      </c>
      <c r="H365">
        <v>3516.8478500906699</v>
      </c>
      <c r="I365" t="s">
        <v>25</v>
      </c>
      <c r="J365" s="1">
        <v>43975</v>
      </c>
      <c r="K365" t="s">
        <v>32</v>
      </c>
      <c r="L365" t="s">
        <v>27</v>
      </c>
      <c r="M365">
        <f>YEAR(Table2[[#This Row],[Date of Admission]])</f>
        <v>2020</v>
      </c>
    </row>
    <row r="366" spans="1:13" x14ac:dyDescent="0.2">
      <c r="A366" t="s">
        <v>409</v>
      </c>
      <c r="B366">
        <v>19</v>
      </c>
      <c r="C366" t="s">
        <v>29</v>
      </c>
      <c r="D366" t="s">
        <v>34</v>
      </c>
      <c r="E366" t="s">
        <v>35</v>
      </c>
      <c r="F366" s="1">
        <v>44386</v>
      </c>
      <c r="G366" t="s">
        <v>47</v>
      </c>
      <c r="H366">
        <v>25414.7959336239</v>
      </c>
      <c r="I366" t="s">
        <v>36</v>
      </c>
      <c r="J366" s="1">
        <v>44412</v>
      </c>
      <c r="K366" t="s">
        <v>32</v>
      </c>
      <c r="L366" t="s">
        <v>37</v>
      </c>
      <c r="M366">
        <f>YEAR(Table2[[#This Row],[Date of Admission]])</f>
        <v>2021</v>
      </c>
    </row>
    <row r="367" spans="1:13" x14ac:dyDescent="0.2">
      <c r="A367" t="s">
        <v>410</v>
      </c>
      <c r="B367">
        <v>21</v>
      </c>
      <c r="C367" t="s">
        <v>14</v>
      </c>
      <c r="D367" t="s">
        <v>71</v>
      </c>
      <c r="E367" t="s">
        <v>16</v>
      </c>
      <c r="F367" s="1">
        <v>43993</v>
      </c>
      <c r="G367" t="s">
        <v>47</v>
      </c>
      <c r="H367">
        <v>36230.3877609556</v>
      </c>
      <c r="I367" t="s">
        <v>36</v>
      </c>
      <c r="J367" s="1">
        <v>44003</v>
      </c>
      <c r="K367" t="s">
        <v>19</v>
      </c>
      <c r="L367" t="s">
        <v>27</v>
      </c>
      <c r="M367">
        <f>YEAR(Table2[[#This Row],[Date of Admission]])</f>
        <v>2020</v>
      </c>
    </row>
    <row r="368" spans="1:13" x14ac:dyDescent="0.2">
      <c r="A368" t="s">
        <v>411</v>
      </c>
      <c r="B368">
        <v>49</v>
      </c>
      <c r="C368" t="s">
        <v>14</v>
      </c>
      <c r="D368" t="s">
        <v>45</v>
      </c>
      <c r="E368" t="s">
        <v>42</v>
      </c>
      <c r="F368" s="1">
        <v>43942</v>
      </c>
      <c r="G368" t="s">
        <v>43</v>
      </c>
      <c r="H368">
        <v>22427.174137366801</v>
      </c>
      <c r="I368" t="s">
        <v>25</v>
      </c>
      <c r="J368" s="1">
        <v>43960</v>
      </c>
      <c r="K368" t="s">
        <v>53</v>
      </c>
      <c r="L368" t="s">
        <v>27</v>
      </c>
      <c r="M368">
        <f>YEAR(Table2[[#This Row],[Date of Admission]])</f>
        <v>2020</v>
      </c>
    </row>
    <row r="369" spans="1:13" x14ac:dyDescent="0.2">
      <c r="A369" t="s">
        <v>412</v>
      </c>
      <c r="B369">
        <v>62</v>
      </c>
      <c r="C369" t="s">
        <v>29</v>
      </c>
      <c r="D369" t="s">
        <v>22</v>
      </c>
      <c r="E369" t="s">
        <v>23</v>
      </c>
      <c r="F369" s="1">
        <v>43744</v>
      </c>
      <c r="G369" t="s">
        <v>47</v>
      </c>
      <c r="H369">
        <v>39250.447438707699</v>
      </c>
      <c r="I369" t="s">
        <v>18</v>
      </c>
      <c r="J369" s="1">
        <v>43773</v>
      </c>
      <c r="K369" t="s">
        <v>32</v>
      </c>
      <c r="L369" t="s">
        <v>20</v>
      </c>
      <c r="M369">
        <f>YEAR(Table2[[#This Row],[Date of Admission]])</f>
        <v>2019</v>
      </c>
    </row>
    <row r="370" spans="1:13" x14ac:dyDescent="0.2">
      <c r="A370" t="s">
        <v>413</v>
      </c>
      <c r="B370">
        <v>54</v>
      </c>
      <c r="C370" t="s">
        <v>29</v>
      </c>
      <c r="D370" t="s">
        <v>71</v>
      </c>
      <c r="E370" t="s">
        <v>52</v>
      </c>
      <c r="F370" s="1">
        <v>44023</v>
      </c>
      <c r="G370" t="s">
        <v>43</v>
      </c>
      <c r="H370">
        <v>5226.0012971346296</v>
      </c>
      <c r="I370" t="s">
        <v>18</v>
      </c>
      <c r="J370" s="1">
        <v>44043</v>
      </c>
      <c r="K370" t="s">
        <v>40</v>
      </c>
      <c r="L370" t="s">
        <v>20</v>
      </c>
      <c r="M370">
        <f>YEAR(Table2[[#This Row],[Date of Admission]])</f>
        <v>2020</v>
      </c>
    </row>
    <row r="371" spans="1:13" x14ac:dyDescent="0.2">
      <c r="A371" t="s">
        <v>414</v>
      </c>
      <c r="B371">
        <v>22</v>
      </c>
      <c r="C371" t="s">
        <v>14</v>
      </c>
      <c r="D371" t="s">
        <v>45</v>
      </c>
      <c r="E371" t="s">
        <v>23</v>
      </c>
      <c r="F371" s="1">
        <v>44654</v>
      </c>
      <c r="G371" t="s">
        <v>47</v>
      </c>
      <c r="H371">
        <v>7732.6722647349497</v>
      </c>
      <c r="I371" t="s">
        <v>36</v>
      </c>
      <c r="J371" s="1">
        <v>44668</v>
      </c>
      <c r="K371" t="s">
        <v>19</v>
      </c>
      <c r="L371" t="s">
        <v>37</v>
      </c>
      <c r="M371">
        <f>YEAR(Table2[[#This Row],[Date of Admission]])</f>
        <v>2022</v>
      </c>
    </row>
    <row r="372" spans="1:13" x14ac:dyDescent="0.2">
      <c r="A372" t="s">
        <v>415</v>
      </c>
      <c r="B372">
        <v>74</v>
      </c>
      <c r="C372" t="s">
        <v>14</v>
      </c>
      <c r="D372" t="s">
        <v>30</v>
      </c>
      <c r="E372" t="s">
        <v>52</v>
      </c>
      <c r="F372" s="1">
        <v>43851</v>
      </c>
      <c r="G372" t="s">
        <v>24</v>
      </c>
      <c r="H372">
        <v>11304.002577233699</v>
      </c>
      <c r="I372" t="s">
        <v>18</v>
      </c>
      <c r="J372" s="1">
        <v>43859</v>
      </c>
      <c r="K372" t="s">
        <v>32</v>
      </c>
      <c r="L372" t="s">
        <v>37</v>
      </c>
      <c r="M372">
        <f>YEAR(Table2[[#This Row],[Date of Admission]])</f>
        <v>2020</v>
      </c>
    </row>
    <row r="373" spans="1:13" x14ac:dyDescent="0.2">
      <c r="A373" t="s">
        <v>416</v>
      </c>
      <c r="B373">
        <v>35</v>
      </c>
      <c r="C373" t="s">
        <v>29</v>
      </c>
      <c r="D373" t="s">
        <v>22</v>
      </c>
      <c r="E373" t="s">
        <v>42</v>
      </c>
      <c r="F373" s="1">
        <v>44911</v>
      </c>
      <c r="G373" t="s">
        <v>43</v>
      </c>
      <c r="H373">
        <v>38403.576578283399</v>
      </c>
      <c r="I373" t="s">
        <v>36</v>
      </c>
      <c r="J373" s="1">
        <v>44934</v>
      </c>
      <c r="K373" t="s">
        <v>53</v>
      </c>
      <c r="L373" t="s">
        <v>37</v>
      </c>
      <c r="M373">
        <f>YEAR(Table2[[#This Row],[Date of Admission]])</f>
        <v>2022</v>
      </c>
    </row>
    <row r="374" spans="1:13" x14ac:dyDescent="0.2">
      <c r="A374" t="s">
        <v>417</v>
      </c>
      <c r="B374">
        <v>20</v>
      </c>
      <c r="C374" t="s">
        <v>14</v>
      </c>
      <c r="D374" t="s">
        <v>15</v>
      </c>
      <c r="E374" t="s">
        <v>42</v>
      </c>
      <c r="F374" s="1">
        <v>44762</v>
      </c>
      <c r="G374" t="s">
        <v>43</v>
      </c>
      <c r="H374">
        <v>14039.886137560001</v>
      </c>
      <c r="I374" t="s">
        <v>25</v>
      </c>
      <c r="J374" s="1">
        <v>44771</v>
      </c>
      <c r="K374" t="s">
        <v>26</v>
      </c>
      <c r="L374" t="s">
        <v>27</v>
      </c>
      <c r="M374">
        <f>YEAR(Table2[[#This Row],[Date of Admission]])</f>
        <v>2022</v>
      </c>
    </row>
    <row r="375" spans="1:13" x14ac:dyDescent="0.2">
      <c r="A375" t="s">
        <v>418</v>
      </c>
      <c r="B375">
        <v>18</v>
      </c>
      <c r="C375" t="s">
        <v>29</v>
      </c>
      <c r="D375" t="s">
        <v>15</v>
      </c>
      <c r="E375" t="s">
        <v>16</v>
      </c>
      <c r="F375" s="1">
        <v>44402</v>
      </c>
      <c r="G375" t="s">
        <v>43</v>
      </c>
      <c r="H375">
        <v>6958.6976712132</v>
      </c>
      <c r="I375" t="s">
        <v>36</v>
      </c>
      <c r="J375" s="1">
        <v>44405</v>
      </c>
      <c r="K375" t="s">
        <v>19</v>
      </c>
      <c r="L375" t="s">
        <v>37</v>
      </c>
      <c r="M375">
        <f>YEAR(Table2[[#This Row],[Date of Admission]])</f>
        <v>2021</v>
      </c>
    </row>
    <row r="376" spans="1:13" x14ac:dyDescent="0.2">
      <c r="A376" t="s">
        <v>419</v>
      </c>
      <c r="B376">
        <v>55</v>
      </c>
      <c r="C376" t="s">
        <v>29</v>
      </c>
      <c r="D376" t="s">
        <v>34</v>
      </c>
      <c r="E376" t="s">
        <v>16</v>
      </c>
      <c r="F376" s="1">
        <v>45126</v>
      </c>
      <c r="G376" t="s">
        <v>24</v>
      </c>
      <c r="H376">
        <v>3254.0322196806201</v>
      </c>
      <c r="I376" t="s">
        <v>18</v>
      </c>
      <c r="J376" s="1">
        <v>45140</v>
      </c>
      <c r="K376" t="s">
        <v>53</v>
      </c>
      <c r="L376" t="s">
        <v>20</v>
      </c>
      <c r="M376">
        <f>YEAR(Table2[[#This Row],[Date of Admission]])</f>
        <v>2023</v>
      </c>
    </row>
    <row r="377" spans="1:13" x14ac:dyDescent="0.2">
      <c r="A377" t="s">
        <v>420</v>
      </c>
      <c r="B377">
        <v>66</v>
      </c>
      <c r="C377" t="s">
        <v>14</v>
      </c>
      <c r="D377" t="s">
        <v>15</v>
      </c>
      <c r="E377" t="s">
        <v>35</v>
      </c>
      <c r="F377" s="1">
        <v>45068</v>
      </c>
      <c r="G377" t="s">
        <v>31</v>
      </c>
      <c r="H377">
        <v>11855.9520190659</v>
      </c>
      <c r="I377" t="s">
        <v>18</v>
      </c>
      <c r="J377" s="1">
        <v>45085</v>
      </c>
      <c r="K377" t="s">
        <v>26</v>
      </c>
      <c r="L377" t="s">
        <v>27</v>
      </c>
      <c r="M377">
        <f>YEAR(Table2[[#This Row],[Date of Admission]])</f>
        <v>2023</v>
      </c>
    </row>
    <row r="378" spans="1:13" x14ac:dyDescent="0.2">
      <c r="A378" t="s">
        <v>421</v>
      </c>
      <c r="B378">
        <v>62</v>
      </c>
      <c r="C378" t="s">
        <v>29</v>
      </c>
      <c r="D378" t="s">
        <v>71</v>
      </c>
      <c r="E378" t="s">
        <v>52</v>
      </c>
      <c r="F378" s="1">
        <v>44020</v>
      </c>
      <c r="G378" t="s">
        <v>17</v>
      </c>
      <c r="H378">
        <v>22368.3759384447</v>
      </c>
      <c r="I378" t="s">
        <v>25</v>
      </c>
      <c r="J378" s="1">
        <v>44037</v>
      </c>
      <c r="K378" t="s">
        <v>26</v>
      </c>
      <c r="L378" t="s">
        <v>27</v>
      </c>
      <c r="M378">
        <f>YEAR(Table2[[#This Row],[Date of Admission]])</f>
        <v>2020</v>
      </c>
    </row>
    <row r="379" spans="1:13" x14ac:dyDescent="0.2">
      <c r="A379" t="s">
        <v>422</v>
      </c>
      <c r="B379">
        <v>43</v>
      </c>
      <c r="C379" t="s">
        <v>29</v>
      </c>
      <c r="D379" t="s">
        <v>30</v>
      </c>
      <c r="E379" t="s">
        <v>42</v>
      </c>
      <c r="F379" s="1">
        <v>44922</v>
      </c>
      <c r="G379" t="s">
        <v>24</v>
      </c>
      <c r="H379">
        <v>48511.654733842297</v>
      </c>
      <c r="I379" t="s">
        <v>18</v>
      </c>
      <c r="J379" s="1">
        <v>44950</v>
      </c>
      <c r="K379" t="s">
        <v>53</v>
      </c>
      <c r="L379" t="s">
        <v>27</v>
      </c>
      <c r="M379">
        <f>YEAR(Table2[[#This Row],[Date of Admission]])</f>
        <v>2022</v>
      </c>
    </row>
    <row r="380" spans="1:13" x14ac:dyDescent="0.2">
      <c r="A380" t="s">
        <v>423</v>
      </c>
      <c r="B380">
        <v>24</v>
      </c>
      <c r="C380" t="s">
        <v>29</v>
      </c>
      <c r="D380" t="s">
        <v>15</v>
      </c>
      <c r="E380" t="s">
        <v>35</v>
      </c>
      <c r="F380" s="1">
        <v>43637</v>
      </c>
      <c r="G380" t="s">
        <v>31</v>
      </c>
      <c r="H380">
        <v>10126.502572543701</v>
      </c>
      <c r="I380" t="s">
        <v>18</v>
      </c>
      <c r="J380" s="1">
        <v>43658</v>
      </c>
      <c r="K380" t="s">
        <v>26</v>
      </c>
      <c r="L380" t="s">
        <v>37</v>
      </c>
      <c r="M380">
        <f>YEAR(Table2[[#This Row],[Date of Admission]])</f>
        <v>2019</v>
      </c>
    </row>
    <row r="381" spans="1:13" x14ac:dyDescent="0.2">
      <c r="A381" t="s">
        <v>424</v>
      </c>
      <c r="B381">
        <v>46</v>
      </c>
      <c r="C381" t="s">
        <v>29</v>
      </c>
      <c r="D381" t="s">
        <v>34</v>
      </c>
      <c r="E381" t="s">
        <v>35</v>
      </c>
      <c r="F381" s="1">
        <v>44197</v>
      </c>
      <c r="G381" t="s">
        <v>43</v>
      </c>
      <c r="H381">
        <v>8470.6412995533301</v>
      </c>
      <c r="I381" t="s">
        <v>36</v>
      </c>
      <c r="J381" s="1">
        <v>44223</v>
      </c>
      <c r="K381" t="s">
        <v>40</v>
      </c>
      <c r="L381" t="s">
        <v>27</v>
      </c>
      <c r="M381">
        <f>YEAR(Table2[[#This Row],[Date of Admission]])</f>
        <v>2021</v>
      </c>
    </row>
    <row r="382" spans="1:13" x14ac:dyDescent="0.2">
      <c r="A382" t="s">
        <v>425</v>
      </c>
      <c r="B382">
        <v>58</v>
      </c>
      <c r="C382" t="s">
        <v>14</v>
      </c>
      <c r="D382" t="s">
        <v>45</v>
      </c>
      <c r="E382" t="s">
        <v>42</v>
      </c>
      <c r="F382" s="1">
        <v>44811</v>
      </c>
      <c r="G382" t="s">
        <v>24</v>
      </c>
      <c r="H382">
        <v>25086.013915067098</v>
      </c>
      <c r="I382" t="s">
        <v>18</v>
      </c>
      <c r="J382" s="1">
        <v>44832</v>
      </c>
      <c r="K382" t="s">
        <v>53</v>
      </c>
      <c r="L382" t="s">
        <v>27</v>
      </c>
      <c r="M382">
        <f>YEAR(Table2[[#This Row],[Date of Admission]])</f>
        <v>2022</v>
      </c>
    </row>
    <row r="383" spans="1:13" x14ac:dyDescent="0.2">
      <c r="A383" t="s">
        <v>426</v>
      </c>
      <c r="B383">
        <v>58</v>
      </c>
      <c r="C383" t="s">
        <v>14</v>
      </c>
      <c r="D383" t="s">
        <v>63</v>
      </c>
      <c r="E383" t="s">
        <v>23</v>
      </c>
      <c r="F383" s="1">
        <v>44721</v>
      </c>
      <c r="G383" t="s">
        <v>47</v>
      </c>
      <c r="H383">
        <v>36524.377246551703</v>
      </c>
      <c r="I383" t="s">
        <v>18</v>
      </c>
      <c r="J383" s="1">
        <v>44738</v>
      </c>
      <c r="K383" t="s">
        <v>26</v>
      </c>
      <c r="L383" t="s">
        <v>37</v>
      </c>
      <c r="M383">
        <f>YEAR(Table2[[#This Row],[Date of Admission]])</f>
        <v>2022</v>
      </c>
    </row>
    <row r="384" spans="1:13" x14ac:dyDescent="0.2">
      <c r="A384" t="s">
        <v>427</v>
      </c>
      <c r="B384">
        <v>48</v>
      </c>
      <c r="C384" t="s">
        <v>14</v>
      </c>
      <c r="D384" t="s">
        <v>63</v>
      </c>
      <c r="E384" t="s">
        <v>16</v>
      </c>
      <c r="F384" s="1">
        <v>45231</v>
      </c>
      <c r="G384" t="s">
        <v>43</v>
      </c>
      <c r="H384">
        <v>5945.0118164359001</v>
      </c>
      <c r="I384" t="s">
        <v>36</v>
      </c>
      <c r="J384" s="1">
        <v>45240</v>
      </c>
      <c r="K384" t="s">
        <v>19</v>
      </c>
      <c r="L384" t="s">
        <v>27</v>
      </c>
      <c r="M384">
        <f>YEAR(Table2[[#This Row],[Date of Admission]])</f>
        <v>2023</v>
      </c>
    </row>
    <row r="385" spans="1:13" x14ac:dyDescent="0.2">
      <c r="A385" t="s">
        <v>428</v>
      </c>
      <c r="B385">
        <v>43</v>
      </c>
      <c r="C385" t="s">
        <v>14</v>
      </c>
      <c r="D385" t="s">
        <v>71</v>
      </c>
      <c r="E385" t="s">
        <v>23</v>
      </c>
      <c r="F385" s="1">
        <v>45144</v>
      </c>
      <c r="G385" t="s">
        <v>17</v>
      </c>
      <c r="H385">
        <v>3601.68167937205</v>
      </c>
      <c r="I385" t="s">
        <v>18</v>
      </c>
      <c r="J385" s="1">
        <v>45151</v>
      </c>
      <c r="K385" t="s">
        <v>53</v>
      </c>
      <c r="L385" t="s">
        <v>27</v>
      </c>
      <c r="M385">
        <f>YEAR(Table2[[#This Row],[Date of Admission]])</f>
        <v>2023</v>
      </c>
    </row>
    <row r="386" spans="1:13" x14ac:dyDescent="0.2">
      <c r="A386" t="s">
        <v>429</v>
      </c>
      <c r="B386">
        <v>74</v>
      </c>
      <c r="C386" t="s">
        <v>29</v>
      </c>
      <c r="D386" t="s">
        <v>39</v>
      </c>
      <c r="E386" t="s">
        <v>23</v>
      </c>
      <c r="F386" s="1">
        <v>44772</v>
      </c>
      <c r="G386" t="s">
        <v>47</v>
      </c>
      <c r="H386">
        <v>4920.1904184311097</v>
      </c>
      <c r="I386" t="s">
        <v>36</v>
      </c>
      <c r="J386" s="1">
        <v>44798</v>
      </c>
      <c r="K386" t="s">
        <v>32</v>
      </c>
      <c r="L386" t="s">
        <v>37</v>
      </c>
      <c r="M386">
        <f>YEAR(Table2[[#This Row],[Date of Admission]])</f>
        <v>2022</v>
      </c>
    </row>
    <row r="387" spans="1:13" x14ac:dyDescent="0.2">
      <c r="A387" t="s">
        <v>430</v>
      </c>
      <c r="B387">
        <v>47</v>
      </c>
      <c r="C387" t="s">
        <v>29</v>
      </c>
      <c r="D387" t="s">
        <v>45</v>
      </c>
      <c r="E387" t="s">
        <v>35</v>
      </c>
      <c r="F387" s="1">
        <v>44231</v>
      </c>
      <c r="G387" t="s">
        <v>43</v>
      </c>
      <c r="H387">
        <v>48887.234524202402</v>
      </c>
      <c r="I387" t="s">
        <v>36</v>
      </c>
      <c r="J387" s="1">
        <v>44255</v>
      </c>
      <c r="K387" t="s">
        <v>26</v>
      </c>
      <c r="L387" t="s">
        <v>27</v>
      </c>
      <c r="M387">
        <f>YEAR(Table2[[#This Row],[Date of Admission]])</f>
        <v>2021</v>
      </c>
    </row>
    <row r="388" spans="1:13" x14ac:dyDescent="0.2">
      <c r="A388" t="s">
        <v>431</v>
      </c>
      <c r="B388">
        <v>35</v>
      </c>
      <c r="C388" t="s">
        <v>14</v>
      </c>
      <c r="D388" t="s">
        <v>22</v>
      </c>
      <c r="E388" t="s">
        <v>16</v>
      </c>
      <c r="F388" s="1">
        <v>44526</v>
      </c>
      <c r="G388" t="s">
        <v>17</v>
      </c>
      <c r="H388">
        <v>48826.387056579602</v>
      </c>
      <c r="I388" t="s">
        <v>18</v>
      </c>
      <c r="J388" s="1">
        <v>44539</v>
      </c>
      <c r="K388" t="s">
        <v>19</v>
      </c>
      <c r="L388" t="s">
        <v>20</v>
      </c>
      <c r="M388">
        <f>YEAR(Table2[[#This Row],[Date of Admission]])</f>
        <v>2021</v>
      </c>
    </row>
    <row r="389" spans="1:13" x14ac:dyDescent="0.2">
      <c r="A389" t="s">
        <v>432</v>
      </c>
      <c r="B389">
        <v>28</v>
      </c>
      <c r="C389" t="s">
        <v>14</v>
      </c>
      <c r="D389" t="s">
        <v>15</v>
      </c>
      <c r="E389" t="s">
        <v>59</v>
      </c>
      <c r="F389" s="1">
        <v>44014</v>
      </c>
      <c r="G389" t="s">
        <v>43</v>
      </c>
      <c r="H389">
        <v>5509.59580144552</v>
      </c>
      <c r="I389" t="s">
        <v>25</v>
      </c>
      <c r="J389" s="1">
        <v>44015</v>
      </c>
      <c r="K389" t="s">
        <v>53</v>
      </c>
      <c r="L389" t="s">
        <v>37</v>
      </c>
      <c r="M389">
        <f>YEAR(Table2[[#This Row],[Date of Admission]])</f>
        <v>2020</v>
      </c>
    </row>
    <row r="390" spans="1:13" x14ac:dyDescent="0.2">
      <c r="A390" t="s">
        <v>433</v>
      </c>
      <c r="B390">
        <v>49</v>
      </c>
      <c r="C390" t="s">
        <v>14</v>
      </c>
      <c r="D390" t="s">
        <v>30</v>
      </c>
      <c r="E390" t="s">
        <v>35</v>
      </c>
      <c r="F390" s="1">
        <v>44417</v>
      </c>
      <c r="G390" t="s">
        <v>24</v>
      </c>
      <c r="H390">
        <v>37636.441661616896</v>
      </c>
      <c r="I390" t="s">
        <v>36</v>
      </c>
      <c r="J390" s="1">
        <v>44445</v>
      </c>
      <c r="K390" t="s">
        <v>26</v>
      </c>
      <c r="L390" t="s">
        <v>20</v>
      </c>
      <c r="M390">
        <f>YEAR(Table2[[#This Row],[Date of Admission]])</f>
        <v>2021</v>
      </c>
    </row>
    <row r="391" spans="1:13" x14ac:dyDescent="0.2">
      <c r="A391" t="s">
        <v>434</v>
      </c>
      <c r="B391">
        <v>28</v>
      </c>
      <c r="C391" t="s">
        <v>14</v>
      </c>
      <c r="D391" t="s">
        <v>45</v>
      </c>
      <c r="E391" t="s">
        <v>23</v>
      </c>
      <c r="F391" s="1">
        <v>45309</v>
      </c>
      <c r="G391" t="s">
        <v>47</v>
      </c>
      <c r="H391">
        <v>20885.9195075241</v>
      </c>
      <c r="I391" t="s">
        <v>25</v>
      </c>
      <c r="J391" s="1">
        <v>45326</v>
      </c>
      <c r="K391" t="s">
        <v>26</v>
      </c>
      <c r="L391" t="s">
        <v>27</v>
      </c>
      <c r="M391">
        <f>YEAR(Table2[[#This Row],[Date of Admission]])</f>
        <v>2024</v>
      </c>
    </row>
    <row r="392" spans="1:13" x14ac:dyDescent="0.2">
      <c r="A392" t="s">
        <v>435</v>
      </c>
      <c r="B392">
        <v>50</v>
      </c>
      <c r="C392" t="s">
        <v>14</v>
      </c>
      <c r="D392" t="s">
        <v>71</v>
      </c>
      <c r="E392" t="s">
        <v>23</v>
      </c>
      <c r="F392" s="1">
        <v>44943</v>
      </c>
      <c r="G392" t="s">
        <v>31</v>
      </c>
      <c r="H392">
        <v>35114.489973948301</v>
      </c>
      <c r="I392" t="s">
        <v>36</v>
      </c>
      <c r="J392" s="1">
        <v>44967</v>
      </c>
      <c r="K392" t="s">
        <v>19</v>
      </c>
      <c r="L392" t="s">
        <v>20</v>
      </c>
      <c r="M392">
        <f>YEAR(Table2[[#This Row],[Date of Admission]])</f>
        <v>2023</v>
      </c>
    </row>
    <row r="393" spans="1:13" x14ac:dyDescent="0.2">
      <c r="A393" t="s">
        <v>436</v>
      </c>
      <c r="B393">
        <v>59</v>
      </c>
      <c r="C393" t="s">
        <v>14</v>
      </c>
      <c r="D393" t="s">
        <v>30</v>
      </c>
      <c r="E393" t="s">
        <v>23</v>
      </c>
      <c r="F393" s="1">
        <v>45378</v>
      </c>
      <c r="G393" t="s">
        <v>17</v>
      </c>
      <c r="H393">
        <v>6191.3926556309298</v>
      </c>
      <c r="I393" t="s">
        <v>36</v>
      </c>
      <c r="J393" s="1">
        <v>45403</v>
      </c>
      <c r="K393" t="s">
        <v>53</v>
      </c>
      <c r="L393" t="s">
        <v>20</v>
      </c>
      <c r="M393">
        <f>YEAR(Table2[[#This Row],[Date of Admission]])</f>
        <v>2024</v>
      </c>
    </row>
    <row r="394" spans="1:13" x14ac:dyDescent="0.2">
      <c r="A394" t="s">
        <v>437</v>
      </c>
      <c r="B394">
        <v>22</v>
      </c>
      <c r="C394" t="s">
        <v>29</v>
      </c>
      <c r="D394" t="s">
        <v>34</v>
      </c>
      <c r="E394" t="s">
        <v>52</v>
      </c>
      <c r="F394" s="1">
        <v>44936</v>
      </c>
      <c r="G394" t="s">
        <v>17</v>
      </c>
      <c r="H394">
        <v>40697.968947545101</v>
      </c>
      <c r="I394" t="s">
        <v>36</v>
      </c>
      <c r="J394" s="1">
        <v>44949</v>
      </c>
      <c r="K394" t="s">
        <v>26</v>
      </c>
      <c r="L394" t="s">
        <v>20</v>
      </c>
      <c r="M394">
        <f>YEAR(Table2[[#This Row],[Date of Admission]])</f>
        <v>2023</v>
      </c>
    </row>
    <row r="395" spans="1:13" x14ac:dyDescent="0.2">
      <c r="A395" t="s">
        <v>438</v>
      </c>
      <c r="B395">
        <v>62</v>
      </c>
      <c r="C395" t="s">
        <v>29</v>
      </c>
      <c r="D395" t="s">
        <v>63</v>
      </c>
      <c r="E395" t="s">
        <v>59</v>
      </c>
      <c r="F395" s="1">
        <v>43660</v>
      </c>
      <c r="G395" t="s">
        <v>31</v>
      </c>
      <c r="H395">
        <v>43465.952783580396</v>
      </c>
      <c r="I395" t="s">
        <v>18</v>
      </c>
      <c r="J395" s="1">
        <v>43664</v>
      </c>
      <c r="K395" t="s">
        <v>53</v>
      </c>
      <c r="L395" t="s">
        <v>20</v>
      </c>
      <c r="M395">
        <f>YEAR(Table2[[#This Row],[Date of Admission]])</f>
        <v>2019</v>
      </c>
    </row>
    <row r="396" spans="1:13" x14ac:dyDescent="0.2">
      <c r="A396" t="s">
        <v>439</v>
      </c>
      <c r="B396">
        <v>21</v>
      </c>
      <c r="C396" t="s">
        <v>29</v>
      </c>
      <c r="D396" t="s">
        <v>22</v>
      </c>
      <c r="E396" t="s">
        <v>16</v>
      </c>
      <c r="F396" s="1">
        <v>43969</v>
      </c>
      <c r="G396" t="s">
        <v>47</v>
      </c>
      <c r="H396">
        <v>16866.068824005499</v>
      </c>
      <c r="I396" t="s">
        <v>36</v>
      </c>
      <c r="J396" s="1">
        <v>43984</v>
      </c>
      <c r="K396" t="s">
        <v>26</v>
      </c>
      <c r="L396" t="s">
        <v>20</v>
      </c>
      <c r="M396">
        <f>YEAR(Table2[[#This Row],[Date of Admission]])</f>
        <v>2020</v>
      </c>
    </row>
    <row r="397" spans="1:13" x14ac:dyDescent="0.2">
      <c r="A397" t="s">
        <v>440</v>
      </c>
      <c r="B397">
        <v>44</v>
      </c>
      <c r="C397" t="s">
        <v>14</v>
      </c>
      <c r="D397" t="s">
        <v>15</v>
      </c>
      <c r="E397" t="s">
        <v>23</v>
      </c>
      <c r="F397" s="1">
        <v>44727</v>
      </c>
      <c r="G397" t="s">
        <v>31</v>
      </c>
      <c r="H397">
        <v>41454.685261556202</v>
      </c>
      <c r="I397" t="s">
        <v>25</v>
      </c>
      <c r="J397" s="1">
        <v>44737</v>
      </c>
      <c r="K397" t="s">
        <v>26</v>
      </c>
      <c r="L397" t="s">
        <v>27</v>
      </c>
      <c r="M397">
        <f>YEAR(Table2[[#This Row],[Date of Admission]])</f>
        <v>2022</v>
      </c>
    </row>
    <row r="398" spans="1:13" x14ac:dyDescent="0.2">
      <c r="A398" t="s">
        <v>441</v>
      </c>
      <c r="B398">
        <v>27</v>
      </c>
      <c r="C398" t="s">
        <v>14</v>
      </c>
      <c r="D398" t="s">
        <v>63</v>
      </c>
      <c r="E398" t="s">
        <v>52</v>
      </c>
      <c r="F398" s="1">
        <v>43917</v>
      </c>
      <c r="G398" t="s">
        <v>47</v>
      </c>
      <c r="H398">
        <v>47735.384242651096</v>
      </c>
      <c r="I398" t="s">
        <v>18</v>
      </c>
      <c r="J398" s="1">
        <v>43926</v>
      </c>
      <c r="K398" t="s">
        <v>40</v>
      </c>
      <c r="L398" t="s">
        <v>20</v>
      </c>
      <c r="M398">
        <f>YEAR(Table2[[#This Row],[Date of Admission]])</f>
        <v>2020</v>
      </c>
    </row>
    <row r="399" spans="1:13" x14ac:dyDescent="0.2">
      <c r="A399" t="s">
        <v>442</v>
      </c>
      <c r="B399">
        <v>47</v>
      </c>
      <c r="C399" t="s">
        <v>14</v>
      </c>
      <c r="D399" t="s">
        <v>71</v>
      </c>
      <c r="E399" t="s">
        <v>35</v>
      </c>
      <c r="F399" s="1">
        <v>43881</v>
      </c>
      <c r="G399" t="s">
        <v>43</v>
      </c>
      <c r="H399">
        <v>2826.8129812995699</v>
      </c>
      <c r="I399" t="s">
        <v>36</v>
      </c>
      <c r="J399" s="1">
        <v>43891</v>
      </c>
      <c r="K399" t="s">
        <v>53</v>
      </c>
      <c r="L399" t="s">
        <v>20</v>
      </c>
      <c r="M399">
        <f>YEAR(Table2[[#This Row],[Date of Admission]])</f>
        <v>2020</v>
      </c>
    </row>
    <row r="400" spans="1:13" x14ac:dyDescent="0.2">
      <c r="A400" t="s">
        <v>443</v>
      </c>
      <c r="B400">
        <v>51</v>
      </c>
      <c r="C400" t="s">
        <v>14</v>
      </c>
      <c r="D400" t="s">
        <v>71</v>
      </c>
      <c r="E400" t="s">
        <v>52</v>
      </c>
      <c r="F400" s="1">
        <v>43998</v>
      </c>
      <c r="G400" t="s">
        <v>17</v>
      </c>
      <c r="H400">
        <v>26524.172804251</v>
      </c>
      <c r="I400" t="s">
        <v>36</v>
      </c>
      <c r="J400" s="1">
        <v>44003</v>
      </c>
      <c r="K400" t="s">
        <v>40</v>
      </c>
      <c r="L400" t="s">
        <v>27</v>
      </c>
      <c r="M400">
        <f>YEAR(Table2[[#This Row],[Date of Admission]])</f>
        <v>2020</v>
      </c>
    </row>
    <row r="401" spans="1:13" x14ac:dyDescent="0.2">
      <c r="A401" t="s">
        <v>444</v>
      </c>
      <c r="B401">
        <v>48</v>
      </c>
      <c r="C401" t="s">
        <v>29</v>
      </c>
      <c r="D401" t="s">
        <v>15</v>
      </c>
      <c r="E401" t="s">
        <v>52</v>
      </c>
      <c r="F401" s="1">
        <v>43622</v>
      </c>
      <c r="G401" t="s">
        <v>43</v>
      </c>
      <c r="H401">
        <v>36727.581005121698</v>
      </c>
      <c r="I401" t="s">
        <v>18</v>
      </c>
      <c r="J401" s="1">
        <v>43648</v>
      </c>
      <c r="K401" t="s">
        <v>26</v>
      </c>
      <c r="L401" t="s">
        <v>20</v>
      </c>
      <c r="M401">
        <f>YEAR(Table2[[#This Row],[Date of Admission]])</f>
        <v>2019</v>
      </c>
    </row>
    <row r="402" spans="1:13" x14ac:dyDescent="0.2">
      <c r="A402" t="s">
        <v>445</v>
      </c>
      <c r="B402">
        <v>83</v>
      </c>
      <c r="C402" t="s">
        <v>14</v>
      </c>
      <c r="D402" t="s">
        <v>15</v>
      </c>
      <c r="E402" t="s">
        <v>59</v>
      </c>
      <c r="F402" s="1">
        <v>44579</v>
      </c>
      <c r="G402" t="s">
        <v>17</v>
      </c>
      <c r="H402">
        <v>4509.4030608944904</v>
      </c>
      <c r="I402" t="s">
        <v>36</v>
      </c>
      <c r="J402" s="1">
        <v>44597</v>
      </c>
      <c r="K402" t="s">
        <v>19</v>
      </c>
      <c r="L402" t="s">
        <v>37</v>
      </c>
      <c r="M402">
        <f>YEAR(Table2[[#This Row],[Date of Admission]])</f>
        <v>2022</v>
      </c>
    </row>
    <row r="403" spans="1:13" x14ac:dyDescent="0.2">
      <c r="A403" t="s">
        <v>446</v>
      </c>
      <c r="B403">
        <v>64</v>
      </c>
      <c r="C403" t="s">
        <v>14</v>
      </c>
      <c r="D403" t="s">
        <v>22</v>
      </c>
      <c r="E403" t="s">
        <v>59</v>
      </c>
      <c r="F403" s="1">
        <v>44207</v>
      </c>
      <c r="G403" t="s">
        <v>31</v>
      </c>
      <c r="H403">
        <v>25709.5844317189</v>
      </c>
      <c r="I403" t="s">
        <v>36</v>
      </c>
      <c r="J403" s="1">
        <v>44219</v>
      </c>
      <c r="K403" t="s">
        <v>32</v>
      </c>
      <c r="L403" t="s">
        <v>37</v>
      </c>
      <c r="M403">
        <f>YEAR(Table2[[#This Row],[Date of Admission]])</f>
        <v>2021</v>
      </c>
    </row>
    <row r="404" spans="1:13" x14ac:dyDescent="0.2">
      <c r="A404" t="s">
        <v>447</v>
      </c>
      <c r="B404">
        <v>19</v>
      </c>
      <c r="C404" t="s">
        <v>14</v>
      </c>
      <c r="D404" t="s">
        <v>34</v>
      </c>
      <c r="E404" t="s">
        <v>23</v>
      </c>
      <c r="F404" s="1">
        <v>44231</v>
      </c>
      <c r="G404" t="s">
        <v>24</v>
      </c>
      <c r="H404">
        <v>20086.2171028671</v>
      </c>
      <c r="I404" t="s">
        <v>18</v>
      </c>
      <c r="J404" s="1">
        <v>44242</v>
      </c>
      <c r="K404" t="s">
        <v>32</v>
      </c>
      <c r="L404" t="s">
        <v>37</v>
      </c>
      <c r="M404">
        <f>YEAR(Table2[[#This Row],[Date of Admission]])</f>
        <v>2021</v>
      </c>
    </row>
    <row r="405" spans="1:13" x14ac:dyDescent="0.2">
      <c r="A405" t="s">
        <v>448</v>
      </c>
      <c r="B405">
        <v>39</v>
      </c>
      <c r="C405" t="s">
        <v>14</v>
      </c>
      <c r="D405" t="s">
        <v>15</v>
      </c>
      <c r="E405" t="s">
        <v>42</v>
      </c>
      <c r="F405" s="1">
        <v>44711</v>
      </c>
      <c r="G405" t="s">
        <v>43</v>
      </c>
      <c r="H405">
        <v>36862.171802963101</v>
      </c>
      <c r="I405" t="s">
        <v>36</v>
      </c>
      <c r="J405" s="1">
        <v>44713</v>
      </c>
      <c r="K405" t="s">
        <v>32</v>
      </c>
      <c r="L405" t="s">
        <v>27</v>
      </c>
      <c r="M405">
        <f>YEAR(Table2[[#This Row],[Date of Admission]])</f>
        <v>2022</v>
      </c>
    </row>
    <row r="406" spans="1:13" x14ac:dyDescent="0.2">
      <c r="A406" t="s">
        <v>449</v>
      </c>
      <c r="B406">
        <v>23</v>
      </c>
      <c r="C406" t="s">
        <v>29</v>
      </c>
      <c r="D406" t="s">
        <v>34</v>
      </c>
      <c r="E406" t="s">
        <v>52</v>
      </c>
      <c r="F406" s="1">
        <v>44549</v>
      </c>
      <c r="G406" t="s">
        <v>17</v>
      </c>
      <c r="H406">
        <v>40065.338892974898</v>
      </c>
      <c r="I406" t="s">
        <v>36</v>
      </c>
      <c r="J406" s="1">
        <v>44560</v>
      </c>
      <c r="K406" t="s">
        <v>19</v>
      </c>
      <c r="L406" t="s">
        <v>20</v>
      </c>
      <c r="M406">
        <f>YEAR(Table2[[#This Row],[Date of Admission]])</f>
        <v>2021</v>
      </c>
    </row>
    <row r="407" spans="1:13" x14ac:dyDescent="0.2">
      <c r="A407" t="s">
        <v>450</v>
      </c>
      <c r="B407">
        <v>24</v>
      </c>
      <c r="C407" t="s">
        <v>14</v>
      </c>
      <c r="D407" t="s">
        <v>63</v>
      </c>
      <c r="E407" t="s">
        <v>35</v>
      </c>
      <c r="F407" s="1">
        <v>44397</v>
      </c>
      <c r="G407" t="s">
        <v>43</v>
      </c>
      <c r="H407">
        <v>41997.354559282001</v>
      </c>
      <c r="I407" t="s">
        <v>36</v>
      </c>
      <c r="J407" s="1">
        <v>44415</v>
      </c>
      <c r="K407" t="s">
        <v>53</v>
      </c>
      <c r="L407" t="s">
        <v>37</v>
      </c>
      <c r="M407">
        <f>YEAR(Table2[[#This Row],[Date of Admission]])</f>
        <v>2021</v>
      </c>
    </row>
    <row r="408" spans="1:13" x14ac:dyDescent="0.2">
      <c r="A408" t="s">
        <v>451</v>
      </c>
      <c r="B408">
        <v>73</v>
      </c>
      <c r="C408" t="s">
        <v>29</v>
      </c>
      <c r="D408" t="s">
        <v>45</v>
      </c>
      <c r="E408" t="s">
        <v>16</v>
      </c>
      <c r="F408" s="1">
        <v>44922</v>
      </c>
      <c r="G408" t="s">
        <v>17</v>
      </c>
      <c r="H408">
        <v>22601.567446848101</v>
      </c>
      <c r="I408" t="s">
        <v>36</v>
      </c>
      <c r="J408" s="1">
        <v>44945</v>
      </c>
      <c r="K408" t="s">
        <v>19</v>
      </c>
      <c r="L408" t="s">
        <v>37</v>
      </c>
      <c r="M408">
        <f>YEAR(Table2[[#This Row],[Date of Admission]])</f>
        <v>2022</v>
      </c>
    </row>
    <row r="409" spans="1:13" x14ac:dyDescent="0.2">
      <c r="A409" t="s">
        <v>452</v>
      </c>
      <c r="B409">
        <v>56</v>
      </c>
      <c r="C409" t="s">
        <v>14</v>
      </c>
      <c r="D409" t="s">
        <v>71</v>
      </c>
      <c r="E409" t="s">
        <v>23</v>
      </c>
      <c r="F409" s="1">
        <v>44809</v>
      </c>
      <c r="G409" t="s">
        <v>43</v>
      </c>
      <c r="H409">
        <v>36204.732330643201</v>
      </c>
      <c r="I409" t="s">
        <v>18</v>
      </c>
      <c r="J409" s="1">
        <v>44838</v>
      </c>
      <c r="K409" t="s">
        <v>40</v>
      </c>
      <c r="L409" t="s">
        <v>20</v>
      </c>
      <c r="M409">
        <f>YEAR(Table2[[#This Row],[Date of Admission]])</f>
        <v>2022</v>
      </c>
    </row>
    <row r="410" spans="1:13" x14ac:dyDescent="0.2">
      <c r="A410" t="s">
        <v>453</v>
      </c>
      <c r="B410">
        <v>36</v>
      </c>
      <c r="C410" t="s">
        <v>14</v>
      </c>
      <c r="D410" t="s">
        <v>63</v>
      </c>
      <c r="E410" t="s">
        <v>16</v>
      </c>
      <c r="F410" s="1">
        <v>44769</v>
      </c>
      <c r="G410" t="s">
        <v>47</v>
      </c>
      <c r="H410">
        <v>41311.293901137302</v>
      </c>
      <c r="I410" t="s">
        <v>25</v>
      </c>
      <c r="J410" s="1">
        <v>44792</v>
      </c>
      <c r="K410" t="s">
        <v>53</v>
      </c>
      <c r="L410" t="s">
        <v>27</v>
      </c>
      <c r="M410">
        <f>YEAR(Table2[[#This Row],[Date of Admission]])</f>
        <v>2022</v>
      </c>
    </row>
    <row r="411" spans="1:13" x14ac:dyDescent="0.2">
      <c r="A411" t="s">
        <v>454</v>
      </c>
      <c r="B411">
        <v>33</v>
      </c>
      <c r="C411" t="s">
        <v>14</v>
      </c>
      <c r="D411" t="s">
        <v>22</v>
      </c>
      <c r="E411" t="s">
        <v>16</v>
      </c>
      <c r="F411" s="1">
        <v>45415</v>
      </c>
      <c r="G411" t="s">
        <v>31</v>
      </c>
      <c r="H411">
        <v>36890.269054974196</v>
      </c>
      <c r="I411" t="s">
        <v>36</v>
      </c>
      <c r="J411" s="1">
        <v>45427</v>
      </c>
      <c r="K411" t="s">
        <v>53</v>
      </c>
      <c r="L411" t="s">
        <v>20</v>
      </c>
      <c r="M411">
        <f>YEAR(Table2[[#This Row],[Date of Admission]])</f>
        <v>2024</v>
      </c>
    </row>
    <row r="412" spans="1:13" x14ac:dyDescent="0.2">
      <c r="A412" t="s">
        <v>455</v>
      </c>
      <c r="B412">
        <v>21</v>
      </c>
      <c r="C412" t="s">
        <v>14</v>
      </c>
      <c r="D412" t="s">
        <v>34</v>
      </c>
      <c r="E412" t="s">
        <v>59</v>
      </c>
      <c r="F412" s="1">
        <v>43705</v>
      </c>
      <c r="G412" t="s">
        <v>31</v>
      </c>
      <c r="H412">
        <v>5716.1042076161202</v>
      </c>
      <c r="I412" t="s">
        <v>25</v>
      </c>
      <c r="J412" s="1">
        <v>43724</v>
      </c>
      <c r="K412" t="s">
        <v>32</v>
      </c>
      <c r="L412" t="s">
        <v>37</v>
      </c>
      <c r="M412">
        <f>YEAR(Table2[[#This Row],[Date of Admission]])</f>
        <v>2019</v>
      </c>
    </row>
    <row r="413" spans="1:13" x14ac:dyDescent="0.2">
      <c r="A413" t="s">
        <v>456</v>
      </c>
      <c r="B413">
        <v>80</v>
      </c>
      <c r="C413" t="s">
        <v>14</v>
      </c>
      <c r="D413" t="s">
        <v>15</v>
      </c>
      <c r="E413" t="s">
        <v>35</v>
      </c>
      <c r="F413" s="1">
        <v>45403</v>
      </c>
      <c r="G413" t="s">
        <v>17</v>
      </c>
      <c r="H413">
        <v>10461.980685017599</v>
      </c>
      <c r="I413" t="s">
        <v>25</v>
      </c>
      <c r="J413" s="1">
        <v>45419</v>
      </c>
      <c r="K413" t="s">
        <v>32</v>
      </c>
      <c r="L413" t="s">
        <v>37</v>
      </c>
      <c r="M413">
        <f>YEAR(Table2[[#This Row],[Date of Admission]])</f>
        <v>2024</v>
      </c>
    </row>
    <row r="414" spans="1:13" x14ac:dyDescent="0.2">
      <c r="A414" t="s">
        <v>457</v>
      </c>
      <c r="B414">
        <v>79</v>
      </c>
      <c r="C414" t="s">
        <v>29</v>
      </c>
      <c r="D414" t="s">
        <v>34</v>
      </c>
      <c r="E414" t="s">
        <v>59</v>
      </c>
      <c r="F414" s="1">
        <v>45363</v>
      </c>
      <c r="G414" t="s">
        <v>17</v>
      </c>
      <c r="H414">
        <v>37879.9790316402</v>
      </c>
      <c r="I414" t="s">
        <v>18</v>
      </c>
      <c r="J414" s="1">
        <v>45386</v>
      </c>
      <c r="K414" t="s">
        <v>32</v>
      </c>
      <c r="L414" t="s">
        <v>37</v>
      </c>
      <c r="M414">
        <f>YEAR(Table2[[#This Row],[Date of Admission]])</f>
        <v>2024</v>
      </c>
    </row>
    <row r="415" spans="1:13" x14ac:dyDescent="0.2">
      <c r="A415" t="s">
        <v>458</v>
      </c>
      <c r="B415">
        <v>44</v>
      </c>
      <c r="C415" t="s">
        <v>14</v>
      </c>
      <c r="D415" t="s">
        <v>22</v>
      </c>
      <c r="E415" t="s">
        <v>23</v>
      </c>
      <c r="F415" s="1">
        <v>43737</v>
      </c>
      <c r="G415" t="s">
        <v>43</v>
      </c>
      <c r="H415">
        <v>44355.204150193902</v>
      </c>
      <c r="I415" t="s">
        <v>36</v>
      </c>
      <c r="J415" s="1">
        <v>43743</v>
      </c>
      <c r="K415" t="s">
        <v>32</v>
      </c>
      <c r="L415" t="s">
        <v>27</v>
      </c>
      <c r="M415">
        <f>YEAR(Table2[[#This Row],[Date of Admission]])</f>
        <v>2019</v>
      </c>
    </row>
    <row r="416" spans="1:13" x14ac:dyDescent="0.2">
      <c r="A416" t="s">
        <v>459</v>
      </c>
      <c r="B416">
        <v>23</v>
      </c>
      <c r="C416" t="s">
        <v>14</v>
      </c>
      <c r="D416" t="s">
        <v>39</v>
      </c>
      <c r="E416" t="s">
        <v>23</v>
      </c>
      <c r="F416" s="1">
        <v>44792</v>
      </c>
      <c r="G416" t="s">
        <v>24</v>
      </c>
      <c r="H416">
        <v>28355.452457265299</v>
      </c>
      <c r="I416" t="s">
        <v>18</v>
      </c>
      <c r="J416" s="1">
        <v>44797</v>
      </c>
      <c r="K416" t="s">
        <v>40</v>
      </c>
      <c r="L416" t="s">
        <v>20</v>
      </c>
      <c r="M416">
        <f>YEAR(Table2[[#This Row],[Date of Admission]])</f>
        <v>2022</v>
      </c>
    </row>
    <row r="417" spans="1:13" x14ac:dyDescent="0.2">
      <c r="A417" t="s">
        <v>460</v>
      </c>
      <c r="B417">
        <v>75</v>
      </c>
      <c r="C417" t="s">
        <v>14</v>
      </c>
      <c r="D417" t="s">
        <v>30</v>
      </c>
      <c r="E417" t="s">
        <v>16</v>
      </c>
      <c r="F417" s="1">
        <v>44487</v>
      </c>
      <c r="G417" t="s">
        <v>17</v>
      </c>
      <c r="H417">
        <v>22935.411708010299</v>
      </c>
      <c r="I417" t="s">
        <v>36</v>
      </c>
      <c r="J417" s="1">
        <v>44501</v>
      </c>
      <c r="K417" t="s">
        <v>26</v>
      </c>
      <c r="L417" t="s">
        <v>20</v>
      </c>
      <c r="M417">
        <f>YEAR(Table2[[#This Row],[Date of Admission]])</f>
        <v>2021</v>
      </c>
    </row>
    <row r="418" spans="1:13" x14ac:dyDescent="0.2">
      <c r="A418" t="s">
        <v>461</v>
      </c>
      <c r="B418">
        <v>60</v>
      </c>
      <c r="C418" t="s">
        <v>14</v>
      </c>
      <c r="D418" t="s">
        <v>30</v>
      </c>
      <c r="E418" t="s">
        <v>52</v>
      </c>
      <c r="F418" s="1">
        <v>45023</v>
      </c>
      <c r="G418" t="s">
        <v>24</v>
      </c>
      <c r="H418">
        <v>42605.635340770401</v>
      </c>
      <c r="I418" t="s">
        <v>36</v>
      </c>
      <c r="J418" s="1">
        <v>45051</v>
      </c>
      <c r="K418" t="s">
        <v>53</v>
      </c>
      <c r="L418" t="s">
        <v>20</v>
      </c>
      <c r="M418">
        <f>YEAR(Table2[[#This Row],[Date of Admission]])</f>
        <v>2023</v>
      </c>
    </row>
    <row r="419" spans="1:13" x14ac:dyDescent="0.2">
      <c r="A419" t="s">
        <v>462</v>
      </c>
      <c r="B419">
        <v>83</v>
      </c>
      <c r="C419" t="s">
        <v>14</v>
      </c>
      <c r="D419" t="s">
        <v>45</v>
      </c>
      <c r="E419" t="s">
        <v>42</v>
      </c>
      <c r="F419" s="1">
        <v>43766</v>
      </c>
      <c r="G419" t="s">
        <v>43</v>
      </c>
      <c r="H419">
        <v>24023.956122820098</v>
      </c>
      <c r="I419" t="s">
        <v>36</v>
      </c>
      <c r="J419" s="1">
        <v>43793</v>
      </c>
      <c r="K419" t="s">
        <v>26</v>
      </c>
      <c r="L419" t="s">
        <v>27</v>
      </c>
      <c r="M419">
        <f>YEAR(Table2[[#This Row],[Date of Admission]])</f>
        <v>2019</v>
      </c>
    </row>
    <row r="420" spans="1:13" x14ac:dyDescent="0.2">
      <c r="A420" t="s">
        <v>463</v>
      </c>
      <c r="B420">
        <v>61</v>
      </c>
      <c r="C420" t="s">
        <v>29</v>
      </c>
      <c r="D420" t="s">
        <v>39</v>
      </c>
      <c r="E420" t="s">
        <v>52</v>
      </c>
      <c r="F420" s="1">
        <v>44011</v>
      </c>
      <c r="G420" t="s">
        <v>43</v>
      </c>
      <c r="H420">
        <v>20577.708926659601</v>
      </c>
      <c r="I420" t="s">
        <v>36</v>
      </c>
      <c r="J420" s="1">
        <v>44038</v>
      </c>
      <c r="K420" t="s">
        <v>40</v>
      </c>
      <c r="L420" t="s">
        <v>20</v>
      </c>
      <c r="M420">
        <f>YEAR(Table2[[#This Row],[Date of Admission]])</f>
        <v>2020</v>
      </c>
    </row>
    <row r="421" spans="1:13" x14ac:dyDescent="0.2">
      <c r="A421" t="s">
        <v>464</v>
      </c>
      <c r="B421">
        <v>82</v>
      </c>
      <c r="C421" t="s">
        <v>29</v>
      </c>
      <c r="D421" t="s">
        <v>39</v>
      </c>
      <c r="E421" t="s">
        <v>35</v>
      </c>
      <c r="F421" s="1">
        <v>44825</v>
      </c>
      <c r="G421" t="s">
        <v>31</v>
      </c>
      <c r="H421">
        <v>7264.8850373505402</v>
      </c>
      <c r="I421" t="s">
        <v>25</v>
      </c>
      <c r="J421" s="1">
        <v>44837</v>
      </c>
      <c r="K421" t="s">
        <v>32</v>
      </c>
      <c r="L421" t="s">
        <v>20</v>
      </c>
      <c r="M421">
        <f>YEAR(Table2[[#This Row],[Date of Admission]])</f>
        <v>2022</v>
      </c>
    </row>
    <row r="422" spans="1:13" x14ac:dyDescent="0.2">
      <c r="A422" t="s">
        <v>465</v>
      </c>
      <c r="B422">
        <v>40</v>
      </c>
      <c r="C422" t="s">
        <v>14</v>
      </c>
      <c r="D422" t="s">
        <v>30</v>
      </c>
      <c r="E422" t="s">
        <v>59</v>
      </c>
      <c r="F422" s="1">
        <v>45148</v>
      </c>
      <c r="G422" t="s">
        <v>47</v>
      </c>
      <c r="H422">
        <v>29913.849330186898</v>
      </c>
      <c r="I422" t="s">
        <v>18</v>
      </c>
      <c r="J422" s="1">
        <v>45153</v>
      </c>
      <c r="K422" t="s">
        <v>26</v>
      </c>
      <c r="L422" t="s">
        <v>20</v>
      </c>
      <c r="M422">
        <f>YEAR(Table2[[#This Row],[Date of Admission]])</f>
        <v>2023</v>
      </c>
    </row>
    <row r="423" spans="1:13" x14ac:dyDescent="0.2">
      <c r="A423" t="s">
        <v>466</v>
      </c>
      <c r="B423">
        <v>70</v>
      </c>
      <c r="C423" t="s">
        <v>29</v>
      </c>
      <c r="D423" t="s">
        <v>63</v>
      </c>
      <c r="E423" t="s">
        <v>52</v>
      </c>
      <c r="F423" s="1">
        <v>44697</v>
      </c>
      <c r="G423" t="s">
        <v>47</v>
      </c>
      <c r="H423">
        <v>43353.403952319401</v>
      </c>
      <c r="I423" t="s">
        <v>36</v>
      </c>
      <c r="J423" s="1">
        <v>44707</v>
      </c>
      <c r="K423" t="s">
        <v>53</v>
      </c>
      <c r="L423" t="s">
        <v>20</v>
      </c>
      <c r="M423">
        <f>YEAR(Table2[[#This Row],[Date of Admission]])</f>
        <v>2022</v>
      </c>
    </row>
    <row r="424" spans="1:13" x14ac:dyDescent="0.2">
      <c r="A424" t="s">
        <v>467</v>
      </c>
      <c r="B424">
        <v>68</v>
      </c>
      <c r="C424" t="s">
        <v>29</v>
      </c>
      <c r="D424" t="s">
        <v>34</v>
      </c>
      <c r="E424" t="s">
        <v>16</v>
      </c>
      <c r="F424" s="1">
        <v>44068</v>
      </c>
      <c r="G424" t="s">
        <v>17</v>
      </c>
      <c r="H424">
        <v>18382.6640546501</v>
      </c>
      <c r="I424" t="s">
        <v>36</v>
      </c>
      <c r="J424" s="1">
        <v>44089</v>
      </c>
      <c r="K424" t="s">
        <v>53</v>
      </c>
      <c r="L424" t="s">
        <v>37</v>
      </c>
      <c r="M424">
        <f>YEAR(Table2[[#This Row],[Date of Admission]])</f>
        <v>2020</v>
      </c>
    </row>
    <row r="425" spans="1:13" x14ac:dyDescent="0.2">
      <c r="A425" t="s">
        <v>468</v>
      </c>
      <c r="B425">
        <v>31</v>
      </c>
      <c r="C425" t="s">
        <v>29</v>
      </c>
      <c r="D425" t="s">
        <v>15</v>
      </c>
      <c r="E425" t="s">
        <v>16</v>
      </c>
      <c r="F425" s="1">
        <v>45203</v>
      </c>
      <c r="G425" t="s">
        <v>17</v>
      </c>
      <c r="H425">
        <v>49419.868014557796</v>
      </c>
      <c r="I425" t="s">
        <v>36</v>
      </c>
      <c r="J425" s="1">
        <v>45210</v>
      </c>
      <c r="K425" t="s">
        <v>26</v>
      </c>
      <c r="L425" t="s">
        <v>27</v>
      </c>
      <c r="M425">
        <f>YEAR(Table2[[#This Row],[Date of Admission]])</f>
        <v>2023</v>
      </c>
    </row>
    <row r="426" spans="1:13" x14ac:dyDescent="0.2">
      <c r="A426" t="s">
        <v>469</v>
      </c>
      <c r="B426">
        <v>28</v>
      </c>
      <c r="C426" t="s">
        <v>14</v>
      </c>
      <c r="D426" t="s">
        <v>34</v>
      </c>
      <c r="E426" t="s">
        <v>42</v>
      </c>
      <c r="F426" s="1">
        <v>44679</v>
      </c>
      <c r="G426" t="s">
        <v>31</v>
      </c>
      <c r="H426">
        <v>9958.0239008240496</v>
      </c>
      <c r="I426" t="s">
        <v>25</v>
      </c>
      <c r="J426" s="1">
        <v>44708</v>
      </c>
      <c r="K426" t="s">
        <v>40</v>
      </c>
      <c r="L426" t="s">
        <v>27</v>
      </c>
      <c r="M426">
        <f>YEAR(Table2[[#This Row],[Date of Admission]])</f>
        <v>2022</v>
      </c>
    </row>
    <row r="427" spans="1:13" x14ac:dyDescent="0.2">
      <c r="A427" t="s">
        <v>470</v>
      </c>
      <c r="B427">
        <v>84</v>
      </c>
      <c r="C427" t="s">
        <v>14</v>
      </c>
      <c r="D427" t="s">
        <v>34</v>
      </c>
      <c r="E427" t="s">
        <v>52</v>
      </c>
      <c r="F427" s="1">
        <v>43614</v>
      </c>
      <c r="G427" t="s">
        <v>17</v>
      </c>
      <c r="H427">
        <v>21438.278985933801</v>
      </c>
      <c r="I427" t="s">
        <v>36</v>
      </c>
      <c r="J427" s="1">
        <v>43633</v>
      </c>
      <c r="K427" t="s">
        <v>32</v>
      </c>
      <c r="L427" t="s">
        <v>37</v>
      </c>
      <c r="M427">
        <f>YEAR(Table2[[#This Row],[Date of Admission]])</f>
        <v>2019</v>
      </c>
    </row>
    <row r="428" spans="1:13" x14ac:dyDescent="0.2">
      <c r="A428" t="s">
        <v>471</v>
      </c>
      <c r="B428">
        <v>34</v>
      </c>
      <c r="C428" t="s">
        <v>29</v>
      </c>
      <c r="D428" t="s">
        <v>39</v>
      </c>
      <c r="E428" t="s">
        <v>59</v>
      </c>
      <c r="F428" s="1">
        <v>45360</v>
      </c>
      <c r="G428" t="s">
        <v>31</v>
      </c>
      <c r="H428">
        <v>1820.0158207199399</v>
      </c>
      <c r="I428" t="s">
        <v>25</v>
      </c>
      <c r="J428" s="1">
        <v>45374</v>
      </c>
      <c r="K428" t="s">
        <v>32</v>
      </c>
      <c r="L428" t="s">
        <v>37</v>
      </c>
      <c r="M428">
        <f>YEAR(Table2[[#This Row],[Date of Admission]])</f>
        <v>2024</v>
      </c>
    </row>
    <row r="429" spans="1:13" x14ac:dyDescent="0.2">
      <c r="A429" t="s">
        <v>99</v>
      </c>
      <c r="B429">
        <v>25</v>
      </c>
      <c r="C429" t="s">
        <v>29</v>
      </c>
      <c r="D429" t="s">
        <v>63</v>
      </c>
      <c r="E429" t="s">
        <v>52</v>
      </c>
      <c r="F429" s="1">
        <v>43837</v>
      </c>
      <c r="G429" t="s">
        <v>47</v>
      </c>
      <c r="H429">
        <v>32760.468759879801</v>
      </c>
      <c r="I429" t="s">
        <v>18</v>
      </c>
      <c r="J429" s="1">
        <v>43862</v>
      </c>
      <c r="K429" t="s">
        <v>32</v>
      </c>
      <c r="L429" t="s">
        <v>20</v>
      </c>
      <c r="M429">
        <f>YEAR(Table2[[#This Row],[Date of Admission]])</f>
        <v>2020</v>
      </c>
    </row>
    <row r="430" spans="1:13" x14ac:dyDescent="0.2">
      <c r="A430" t="s">
        <v>472</v>
      </c>
      <c r="B430">
        <v>58</v>
      </c>
      <c r="C430" t="s">
        <v>29</v>
      </c>
      <c r="D430" t="s">
        <v>63</v>
      </c>
      <c r="E430" t="s">
        <v>42</v>
      </c>
      <c r="F430" s="1">
        <v>43779</v>
      </c>
      <c r="G430" t="s">
        <v>24</v>
      </c>
      <c r="H430">
        <v>35421.825825482199</v>
      </c>
      <c r="I430" t="s">
        <v>36</v>
      </c>
      <c r="J430" s="1">
        <v>43805</v>
      </c>
      <c r="K430" t="s">
        <v>19</v>
      </c>
      <c r="L430" t="s">
        <v>37</v>
      </c>
      <c r="M430">
        <f>YEAR(Table2[[#This Row],[Date of Admission]])</f>
        <v>2019</v>
      </c>
    </row>
    <row r="431" spans="1:13" x14ac:dyDescent="0.2">
      <c r="A431" t="s">
        <v>473</v>
      </c>
      <c r="B431">
        <v>78</v>
      </c>
      <c r="C431" t="s">
        <v>29</v>
      </c>
      <c r="D431" t="s">
        <v>34</v>
      </c>
      <c r="E431" t="s">
        <v>35</v>
      </c>
      <c r="F431" s="1">
        <v>44950</v>
      </c>
      <c r="G431" t="s">
        <v>24</v>
      </c>
      <c r="H431">
        <v>44393.180527655197</v>
      </c>
      <c r="I431" t="s">
        <v>36</v>
      </c>
      <c r="J431" s="1">
        <v>44958</v>
      </c>
      <c r="K431" t="s">
        <v>32</v>
      </c>
      <c r="L431" t="s">
        <v>27</v>
      </c>
      <c r="M431">
        <f>YEAR(Table2[[#This Row],[Date of Admission]])</f>
        <v>2023</v>
      </c>
    </row>
    <row r="432" spans="1:13" x14ac:dyDescent="0.2">
      <c r="A432" t="s">
        <v>474</v>
      </c>
      <c r="B432">
        <v>56</v>
      </c>
      <c r="C432" t="s">
        <v>14</v>
      </c>
      <c r="D432" t="s">
        <v>39</v>
      </c>
      <c r="E432" t="s">
        <v>35</v>
      </c>
      <c r="F432" s="1">
        <v>43674</v>
      </c>
      <c r="G432" t="s">
        <v>17</v>
      </c>
      <c r="H432">
        <v>16578.905836578899</v>
      </c>
      <c r="I432" t="s">
        <v>18</v>
      </c>
      <c r="J432" s="1">
        <v>43703</v>
      </c>
      <c r="K432" t="s">
        <v>40</v>
      </c>
      <c r="L432" t="s">
        <v>27</v>
      </c>
      <c r="M432">
        <f>YEAR(Table2[[#This Row],[Date of Admission]])</f>
        <v>2019</v>
      </c>
    </row>
    <row r="433" spans="1:13" x14ac:dyDescent="0.2">
      <c r="A433" t="s">
        <v>475</v>
      </c>
      <c r="B433">
        <v>77</v>
      </c>
      <c r="C433" t="s">
        <v>14</v>
      </c>
      <c r="D433" t="s">
        <v>45</v>
      </c>
      <c r="E433" t="s">
        <v>59</v>
      </c>
      <c r="F433" s="1">
        <v>44760</v>
      </c>
      <c r="G433" t="s">
        <v>24</v>
      </c>
      <c r="H433">
        <v>33749.858768557802</v>
      </c>
      <c r="I433" t="s">
        <v>25</v>
      </c>
      <c r="J433" s="1">
        <v>44780</v>
      </c>
      <c r="K433" t="s">
        <v>19</v>
      </c>
      <c r="L433" t="s">
        <v>37</v>
      </c>
      <c r="M433">
        <f>YEAR(Table2[[#This Row],[Date of Admission]])</f>
        <v>2022</v>
      </c>
    </row>
    <row r="434" spans="1:13" x14ac:dyDescent="0.2">
      <c r="A434" t="s">
        <v>476</v>
      </c>
      <c r="B434">
        <v>61</v>
      </c>
      <c r="C434" t="s">
        <v>29</v>
      </c>
      <c r="D434" t="s">
        <v>22</v>
      </c>
      <c r="E434" t="s">
        <v>42</v>
      </c>
      <c r="F434" s="1">
        <v>43989</v>
      </c>
      <c r="G434" t="s">
        <v>43</v>
      </c>
      <c r="H434">
        <v>3903.7562434997699</v>
      </c>
      <c r="I434" t="s">
        <v>18</v>
      </c>
      <c r="J434" s="1">
        <v>44013</v>
      </c>
      <c r="K434" t="s">
        <v>40</v>
      </c>
      <c r="L434" t="s">
        <v>37</v>
      </c>
      <c r="M434">
        <f>YEAR(Table2[[#This Row],[Date of Admission]])</f>
        <v>2020</v>
      </c>
    </row>
    <row r="435" spans="1:13" x14ac:dyDescent="0.2">
      <c r="A435" t="s">
        <v>477</v>
      </c>
      <c r="B435">
        <v>40</v>
      </c>
      <c r="C435" t="s">
        <v>29</v>
      </c>
      <c r="D435" t="s">
        <v>15</v>
      </c>
      <c r="E435" t="s">
        <v>16</v>
      </c>
      <c r="F435" s="1">
        <v>44172</v>
      </c>
      <c r="G435" t="s">
        <v>24</v>
      </c>
      <c r="H435">
        <v>22720.333703383301</v>
      </c>
      <c r="I435" t="s">
        <v>25</v>
      </c>
      <c r="J435" s="1">
        <v>44185</v>
      </c>
      <c r="K435" t="s">
        <v>53</v>
      </c>
      <c r="L435" t="s">
        <v>37</v>
      </c>
      <c r="M435">
        <f>YEAR(Table2[[#This Row],[Date of Admission]])</f>
        <v>2020</v>
      </c>
    </row>
    <row r="436" spans="1:13" x14ac:dyDescent="0.2">
      <c r="A436" t="s">
        <v>478</v>
      </c>
      <c r="B436">
        <v>80</v>
      </c>
      <c r="C436" t="s">
        <v>14</v>
      </c>
      <c r="D436" t="s">
        <v>45</v>
      </c>
      <c r="E436" t="s">
        <v>35</v>
      </c>
      <c r="F436" s="1">
        <v>43931</v>
      </c>
      <c r="G436" t="s">
        <v>24</v>
      </c>
      <c r="H436">
        <v>35411.471373789602</v>
      </c>
      <c r="I436" t="s">
        <v>36</v>
      </c>
      <c r="J436" s="1">
        <v>43951</v>
      </c>
      <c r="K436" t="s">
        <v>19</v>
      </c>
      <c r="L436" t="s">
        <v>37</v>
      </c>
      <c r="M436">
        <f>YEAR(Table2[[#This Row],[Date of Admission]])</f>
        <v>2020</v>
      </c>
    </row>
    <row r="437" spans="1:13" x14ac:dyDescent="0.2">
      <c r="A437" t="s">
        <v>479</v>
      </c>
      <c r="B437">
        <v>35</v>
      </c>
      <c r="C437" t="s">
        <v>14</v>
      </c>
      <c r="D437" t="s">
        <v>30</v>
      </c>
      <c r="E437" t="s">
        <v>52</v>
      </c>
      <c r="F437" s="1">
        <v>45119</v>
      </c>
      <c r="G437" t="s">
        <v>24</v>
      </c>
      <c r="H437">
        <v>27342.226743452498</v>
      </c>
      <c r="I437" t="s">
        <v>18</v>
      </c>
      <c r="J437" s="1">
        <v>45129</v>
      </c>
      <c r="K437" t="s">
        <v>32</v>
      </c>
      <c r="L437" t="s">
        <v>20</v>
      </c>
      <c r="M437">
        <f>YEAR(Table2[[#This Row],[Date of Admission]])</f>
        <v>2023</v>
      </c>
    </row>
    <row r="438" spans="1:13" x14ac:dyDescent="0.2">
      <c r="A438" t="s">
        <v>480</v>
      </c>
      <c r="B438">
        <v>85</v>
      </c>
      <c r="C438" t="s">
        <v>29</v>
      </c>
      <c r="D438" t="s">
        <v>22</v>
      </c>
      <c r="E438" t="s">
        <v>16</v>
      </c>
      <c r="F438" s="1">
        <v>44814</v>
      </c>
      <c r="G438" t="s">
        <v>17</v>
      </c>
      <c r="H438">
        <v>27971.280360766301</v>
      </c>
      <c r="I438" t="s">
        <v>25</v>
      </c>
      <c r="J438" s="1">
        <v>44818</v>
      </c>
      <c r="K438" t="s">
        <v>53</v>
      </c>
      <c r="L438" t="s">
        <v>37</v>
      </c>
      <c r="M438">
        <f>YEAR(Table2[[#This Row],[Date of Admission]])</f>
        <v>2022</v>
      </c>
    </row>
    <row r="439" spans="1:13" x14ac:dyDescent="0.2">
      <c r="A439" t="s">
        <v>481</v>
      </c>
      <c r="B439">
        <v>64</v>
      </c>
      <c r="C439" t="s">
        <v>14</v>
      </c>
      <c r="D439" t="s">
        <v>45</v>
      </c>
      <c r="E439" t="s">
        <v>52</v>
      </c>
      <c r="F439" s="1">
        <v>44301</v>
      </c>
      <c r="G439" t="s">
        <v>47</v>
      </c>
      <c r="H439">
        <v>26894.074932347001</v>
      </c>
      <c r="I439" t="s">
        <v>25</v>
      </c>
      <c r="J439" s="1">
        <v>44323</v>
      </c>
      <c r="K439" t="s">
        <v>32</v>
      </c>
      <c r="L439" t="s">
        <v>20</v>
      </c>
      <c r="M439">
        <f>YEAR(Table2[[#This Row],[Date of Admission]])</f>
        <v>2021</v>
      </c>
    </row>
    <row r="440" spans="1:13" x14ac:dyDescent="0.2">
      <c r="A440" t="s">
        <v>482</v>
      </c>
      <c r="B440">
        <v>30</v>
      </c>
      <c r="C440" t="s">
        <v>29</v>
      </c>
      <c r="D440" t="s">
        <v>71</v>
      </c>
      <c r="E440" t="s">
        <v>16</v>
      </c>
      <c r="F440" s="1">
        <v>44063</v>
      </c>
      <c r="G440" t="s">
        <v>24</v>
      </c>
      <c r="H440">
        <v>36551.054751607902</v>
      </c>
      <c r="I440" t="s">
        <v>25</v>
      </c>
      <c r="J440" s="1">
        <v>44066</v>
      </c>
      <c r="K440" t="s">
        <v>26</v>
      </c>
      <c r="L440" t="s">
        <v>37</v>
      </c>
      <c r="M440">
        <f>YEAR(Table2[[#This Row],[Date of Admission]])</f>
        <v>2020</v>
      </c>
    </row>
    <row r="441" spans="1:13" x14ac:dyDescent="0.2">
      <c r="A441" t="s">
        <v>483</v>
      </c>
      <c r="B441">
        <v>19</v>
      </c>
      <c r="C441" t="s">
        <v>29</v>
      </c>
      <c r="D441" t="s">
        <v>22</v>
      </c>
      <c r="E441" t="s">
        <v>59</v>
      </c>
      <c r="F441" s="1">
        <v>44057</v>
      </c>
      <c r="G441" t="s">
        <v>24</v>
      </c>
      <c r="H441">
        <v>10693.389264097599</v>
      </c>
      <c r="I441" t="s">
        <v>36</v>
      </c>
      <c r="J441" s="1">
        <v>44071</v>
      </c>
      <c r="K441" t="s">
        <v>26</v>
      </c>
      <c r="L441" t="s">
        <v>37</v>
      </c>
      <c r="M441">
        <f>YEAR(Table2[[#This Row],[Date of Admission]])</f>
        <v>2020</v>
      </c>
    </row>
    <row r="442" spans="1:13" x14ac:dyDescent="0.2">
      <c r="A442" t="s">
        <v>484</v>
      </c>
      <c r="B442">
        <v>64</v>
      </c>
      <c r="C442" t="s">
        <v>14</v>
      </c>
      <c r="D442" t="s">
        <v>22</v>
      </c>
      <c r="E442" t="s">
        <v>35</v>
      </c>
      <c r="F442" s="1">
        <v>44394</v>
      </c>
      <c r="G442" t="s">
        <v>43</v>
      </c>
      <c r="H442">
        <v>28835.441190757701</v>
      </c>
      <c r="I442" t="s">
        <v>18</v>
      </c>
      <c r="J442" s="1">
        <v>44411</v>
      </c>
      <c r="K442" t="s">
        <v>53</v>
      </c>
      <c r="L442" t="s">
        <v>27</v>
      </c>
      <c r="M442">
        <f>YEAR(Table2[[#This Row],[Date of Admission]])</f>
        <v>2021</v>
      </c>
    </row>
    <row r="443" spans="1:13" x14ac:dyDescent="0.2">
      <c r="A443" t="s">
        <v>485</v>
      </c>
      <c r="B443">
        <v>44</v>
      </c>
      <c r="C443" t="s">
        <v>14</v>
      </c>
      <c r="D443" t="s">
        <v>63</v>
      </c>
      <c r="E443" t="s">
        <v>35</v>
      </c>
      <c r="F443" s="1">
        <v>44953</v>
      </c>
      <c r="G443" t="s">
        <v>24</v>
      </c>
      <c r="H443">
        <v>7083.6142663370101</v>
      </c>
      <c r="I443" t="s">
        <v>36</v>
      </c>
      <c r="J443" s="1">
        <v>44959</v>
      </c>
      <c r="K443" t="s">
        <v>53</v>
      </c>
      <c r="L443" t="s">
        <v>27</v>
      </c>
      <c r="M443">
        <f>YEAR(Table2[[#This Row],[Date of Admission]])</f>
        <v>2023</v>
      </c>
    </row>
    <row r="444" spans="1:13" x14ac:dyDescent="0.2">
      <c r="A444" t="s">
        <v>486</v>
      </c>
      <c r="B444">
        <v>66</v>
      </c>
      <c r="C444" t="s">
        <v>29</v>
      </c>
      <c r="D444" t="s">
        <v>71</v>
      </c>
      <c r="E444" t="s">
        <v>42</v>
      </c>
      <c r="F444" s="1">
        <v>44078</v>
      </c>
      <c r="G444" t="s">
        <v>24</v>
      </c>
      <c r="H444">
        <v>2068.4292036295101</v>
      </c>
      <c r="I444" t="s">
        <v>18</v>
      </c>
      <c r="J444" s="1">
        <v>44094</v>
      </c>
      <c r="K444" t="s">
        <v>40</v>
      </c>
      <c r="L444" t="s">
        <v>27</v>
      </c>
      <c r="M444">
        <f>YEAR(Table2[[#This Row],[Date of Admission]])</f>
        <v>2020</v>
      </c>
    </row>
    <row r="445" spans="1:13" x14ac:dyDescent="0.2">
      <c r="A445" t="s">
        <v>487</v>
      </c>
      <c r="B445">
        <v>79</v>
      </c>
      <c r="C445" t="s">
        <v>29</v>
      </c>
      <c r="D445" t="s">
        <v>39</v>
      </c>
      <c r="E445" t="s">
        <v>52</v>
      </c>
      <c r="F445" s="1">
        <v>43869</v>
      </c>
      <c r="G445" t="s">
        <v>17</v>
      </c>
      <c r="H445">
        <v>42956.128952957799</v>
      </c>
      <c r="I445" t="s">
        <v>36</v>
      </c>
      <c r="J445" s="1">
        <v>43882</v>
      </c>
      <c r="K445" t="s">
        <v>32</v>
      </c>
      <c r="L445" t="s">
        <v>20</v>
      </c>
      <c r="M445">
        <f>YEAR(Table2[[#This Row],[Date of Admission]])</f>
        <v>2020</v>
      </c>
    </row>
    <row r="446" spans="1:13" x14ac:dyDescent="0.2">
      <c r="A446" t="s">
        <v>488</v>
      </c>
      <c r="B446">
        <v>59</v>
      </c>
      <c r="C446" t="s">
        <v>29</v>
      </c>
      <c r="D446" t="s">
        <v>34</v>
      </c>
      <c r="E446" t="s">
        <v>35</v>
      </c>
      <c r="F446" s="1">
        <v>43647</v>
      </c>
      <c r="G446" t="s">
        <v>31</v>
      </c>
      <c r="H446">
        <v>17307.366222435001</v>
      </c>
      <c r="I446" t="s">
        <v>18</v>
      </c>
      <c r="J446" s="1">
        <v>43651</v>
      </c>
      <c r="K446" t="s">
        <v>40</v>
      </c>
      <c r="L446" t="s">
        <v>37</v>
      </c>
      <c r="M446">
        <f>YEAR(Table2[[#This Row],[Date of Admission]])</f>
        <v>2019</v>
      </c>
    </row>
    <row r="447" spans="1:13" x14ac:dyDescent="0.2">
      <c r="A447" t="s">
        <v>489</v>
      </c>
      <c r="B447">
        <v>47</v>
      </c>
      <c r="C447" t="s">
        <v>14</v>
      </c>
      <c r="D447" t="s">
        <v>34</v>
      </c>
      <c r="E447" t="s">
        <v>42</v>
      </c>
      <c r="F447" s="1">
        <v>45292</v>
      </c>
      <c r="G447" t="s">
        <v>31</v>
      </c>
      <c r="H447">
        <v>41492.127588898198</v>
      </c>
      <c r="I447" t="s">
        <v>36</v>
      </c>
      <c r="J447" s="1">
        <v>45303</v>
      </c>
      <c r="K447" t="s">
        <v>32</v>
      </c>
      <c r="L447" t="s">
        <v>20</v>
      </c>
      <c r="M447">
        <f>YEAR(Table2[[#This Row],[Date of Admission]])</f>
        <v>2024</v>
      </c>
    </row>
    <row r="448" spans="1:13" x14ac:dyDescent="0.2">
      <c r="A448" t="s">
        <v>490</v>
      </c>
      <c r="B448">
        <v>49</v>
      </c>
      <c r="C448" t="s">
        <v>14</v>
      </c>
      <c r="D448" t="s">
        <v>39</v>
      </c>
      <c r="E448" t="s">
        <v>23</v>
      </c>
      <c r="F448" s="1">
        <v>44265</v>
      </c>
      <c r="G448" t="s">
        <v>43</v>
      </c>
      <c r="H448">
        <v>16097.762164349</v>
      </c>
      <c r="I448" t="s">
        <v>25</v>
      </c>
      <c r="J448" s="1">
        <v>44293</v>
      </c>
      <c r="K448" t="s">
        <v>19</v>
      </c>
      <c r="L448" t="s">
        <v>20</v>
      </c>
      <c r="M448">
        <f>YEAR(Table2[[#This Row],[Date of Admission]])</f>
        <v>2021</v>
      </c>
    </row>
    <row r="449" spans="1:13" x14ac:dyDescent="0.2">
      <c r="A449" t="s">
        <v>491</v>
      </c>
      <c r="B449">
        <v>35</v>
      </c>
      <c r="C449" t="s">
        <v>14</v>
      </c>
      <c r="D449" t="s">
        <v>39</v>
      </c>
      <c r="E449" t="s">
        <v>16</v>
      </c>
      <c r="F449" s="1">
        <v>43727</v>
      </c>
      <c r="G449" t="s">
        <v>17</v>
      </c>
      <c r="H449">
        <v>44495.731038476602</v>
      </c>
      <c r="I449" t="s">
        <v>36</v>
      </c>
      <c r="J449" s="1">
        <v>43754</v>
      </c>
      <c r="K449" t="s">
        <v>19</v>
      </c>
      <c r="L449" t="s">
        <v>27</v>
      </c>
      <c r="M449">
        <f>YEAR(Table2[[#This Row],[Date of Admission]])</f>
        <v>2019</v>
      </c>
    </row>
    <row r="450" spans="1:13" x14ac:dyDescent="0.2">
      <c r="A450" t="s">
        <v>492</v>
      </c>
      <c r="B450">
        <v>69</v>
      </c>
      <c r="C450" t="s">
        <v>29</v>
      </c>
      <c r="D450" t="s">
        <v>63</v>
      </c>
      <c r="E450" t="s">
        <v>23</v>
      </c>
      <c r="F450" s="1">
        <v>44981</v>
      </c>
      <c r="G450" t="s">
        <v>17</v>
      </c>
      <c r="H450">
        <v>2936.8944986229299</v>
      </c>
      <c r="I450" t="s">
        <v>25</v>
      </c>
      <c r="J450" s="1">
        <v>44982</v>
      </c>
      <c r="K450" t="s">
        <v>32</v>
      </c>
      <c r="L450" t="s">
        <v>37</v>
      </c>
      <c r="M450">
        <f>YEAR(Table2[[#This Row],[Date of Admission]])</f>
        <v>2023</v>
      </c>
    </row>
    <row r="451" spans="1:13" x14ac:dyDescent="0.2">
      <c r="A451" t="s">
        <v>493</v>
      </c>
      <c r="B451">
        <v>57</v>
      </c>
      <c r="C451" t="s">
        <v>14</v>
      </c>
      <c r="D451" t="s">
        <v>34</v>
      </c>
      <c r="E451" t="s">
        <v>23</v>
      </c>
      <c r="F451" s="1">
        <v>44650</v>
      </c>
      <c r="G451" t="s">
        <v>43</v>
      </c>
      <c r="H451">
        <v>43374.011464690302</v>
      </c>
      <c r="I451" t="s">
        <v>25</v>
      </c>
      <c r="J451" s="1">
        <v>44665</v>
      </c>
      <c r="K451" t="s">
        <v>53</v>
      </c>
      <c r="L451" t="s">
        <v>27</v>
      </c>
      <c r="M451">
        <f>YEAR(Table2[[#This Row],[Date of Admission]])</f>
        <v>2022</v>
      </c>
    </row>
    <row r="452" spans="1:13" x14ac:dyDescent="0.2">
      <c r="A452" t="s">
        <v>494</v>
      </c>
      <c r="B452">
        <v>51</v>
      </c>
      <c r="C452" t="s">
        <v>29</v>
      </c>
      <c r="D452" t="s">
        <v>22</v>
      </c>
      <c r="E452" t="s">
        <v>42</v>
      </c>
      <c r="F452" s="1">
        <v>43707</v>
      </c>
      <c r="G452" t="s">
        <v>31</v>
      </c>
      <c r="H452">
        <v>6949.8756449953498</v>
      </c>
      <c r="I452" t="s">
        <v>18</v>
      </c>
      <c r="J452" s="1">
        <v>43725</v>
      </c>
      <c r="K452" t="s">
        <v>19</v>
      </c>
      <c r="L452" t="s">
        <v>27</v>
      </c>
      <c r="M452">
        <f>YEAR(Table2[[#This Row],[Date of Admission]])</f>
        <v>2019</v>
      </c>
    </row>
    <row r="453" spans="1:13" x14ac:dyDescent="0.2">
      <c r="A453" t="s">
        <v>495</v>
      </c>
      <c r="B453">
        <v>31</v>
      </c>
      <c r="C453" t="s">
        <v>29</v>
      </c>
      <c r="D453" t="s">
        <v>34</v>
      </c>
      <c r="E453" t="s">
        <v>59</v>
      </c>
      <c r="F453" s="1">
        <v>43820</v>
      </c>
      <c r="G453" t="s">
        <v>17</v>
      </c>
      <c r="H453">
        <v>15449.0639737078</v>
      </c>
      <c r="I453" t="s">
        <v>36</v>
      </c>
      <c r="J453" s="1">
        <v>43830</v>
      </c>
      <c r="K453" t="s">
        <v>53</v>
      </c>
      <c r="L453" t="s">
        <v>37</v>
      </c>
      <c r="M453">
        <f>YEAR(Table2[[#This Row],[Date of Admission]])</f>
        <v>2019</v>
      </c>
    </row>
    <row r="454" spans="1:13" x14ac:dyDescent="0.2">
      <c r="A454" t="s">
        <v>496</v>
      </c>
      <c r="B454">
        <v>34</v>
      </c>
      <c r="C454" t="s">
        <v>29</v>
      </c>
      <c r="D454" t="s">
        <v>30</v>
      </c>
      <c r="E454" t="s">
        <v>23</v>
      </c>
      <c r="F454" s="1">
        <v>43708</v>
      </c>
      <c r="G454" t="s">
        <v>17</v>
      </c>
      <c r="H454">
        <v>37458.159278940999</v>
      </c>
      <c r="I454" t="s">
        <v>36</v>
      </c>
      <c r="J454" s="1">
        <v>43736</v>
      </c>
      <c r="K454" t="s">
        <v>19</v>
      </c>
      <c r="L454" t="s">
        <v>37</v>
      </c>
      <c r="M454">
        <f>YEAR(Table2[[#This Row],[Date of Admission]])</f>
        <v>2019</v>
      </c>
    </row>
    <row r="455" spans="1:13" x14ac:dyDescent="0.2">
      <c r="A455" t="s">
        <v>497</v>
      </c>
      <c r="B455">
        <v>57</v>
      </c>
      <c r="C455" t="s">
        <v>14</v>
      </c>
      <c r="D455" t="s">
        <v>34</v>
      </c>
      <c r="E455" t="s">
        <v>16</v>
      </c>
      <c r="F455" s="1">
        <v>44650</v>
      </c>
      <c r="G455" t="s">
        <v>24</v>
      </c>
      <c r="H455">
        <v>5919.30008439826</v>
      </c>
      <c r="I455" t="s">
        <v>36</v>
      </c>
      <c r="J455" s="1">
        <v>44662</v>
      </c>
      <c r="K455" t="s">
        <v>26</v>
      </c>
      <c r="L455" t="s">
        <v>20</v>
      </c>
      <c r="M455">
        <f>YEAR(Table2[[#This Row],[Date of Admission]])</f>
        <v>2022</v>
      </c>
    </row>
    <row r="456" spans="1:13" x14ac:dyDescent="0.2">
      <c r="A456" t="s">
        <v>498</v>
      </c>
      <c r="B456">
        <v>51</v>
      </c>
      <c r="C456" t="s">
        <v>29</v>
      </c>
      <c r="D456" t="s">
        <v>34</v>
      </c>
      <c r="E456" t="s">
        <v>59</v>
      </c>
      <c r="F456" s="1">
        <v>45149</v>
      </c>
      <c r="G456" t="s">
        <v>47</v>
      </c>
      <c r="H456">
        <v>21534.715569914701</v>
      </c>
      <c r="I456" t="s">
        <v>25</v>
      </c>
      <c r="J456" s="1">
        <v>45158</v>
      </c>
      <c r="K456" t="s">
        <v>40</v>
      </c>
      <c r="L456" t="s">
        <v>20</v>
      </c>
      <c r="M456">
        <f>YEAR(Table2[[#This Row],[Date of Admission]])</f>
        <v>2023</v>
      </c>
    </row>
    <row r="457" spans="1:13" x14ac:dyDescent="0.2">
      <c r="A457" t="s">
        <v>499</v>
      </c>
      <c r="B457">
        <v>85</v>
      </c>
      <c r="C457" t="s">
        <v>14</v>
      </c>
      <c r="D457" t="s">
        <v>63</v>
      </c>
      <c r="E457" t="s">
        <v>42</v>
      </c>
      <c r="F457" s="1">
        <v>44498</v>
      </c>
      <c r="G457" t="s">
        <v>47</v>
      </c>
      <c r="H457">
        <v>43393.922915147799</v>
      </c>
      <c r="I457" t="s">
        <v>36</v>
      </c>
      <c r="J457" s="1">
        <v>44525</v>
      </c>
      <c r="K457" t="s">
        <v>40</v>
      </c>
      <c r="L457" t="s">
        <v>27</v>
      </c>
      <c r="M457">
        <f>YEAR(Table2[[#This Row],[Date of Admission]])</f>
        <v>2021</v>
      </c>
    </row>
    <row r="458" spans="1:13" x14ac:dyDescent="0.2">
      <c r="A458" t="s">
        <v>500</v>
      </c>
      <c r="B458">
        <v>51</v>
      </c>
      <c r="C458" t="s">
        <v>14</v>
      </c>
      <c r="D458" t="s">
        <v>30</v>
      </c>
      <c r="E458" t="s">
        <v>16</v>
      </c>
      <c r="F458" s="1">
        <v>44092</v>
      </c>
      <c r="G458" t="s">
        <v>24</v>
      </c>
      <c r="H458">
        <v>50332.932411206602</v>
      </c>
      <c r="I458" t="s">
        <v>25</v>
      </c>
      <c r="J458" s="1">
        <v>44116</v>
      </c>
      <c r="K458" t="s">
        <v>32</v>
      </c>
      <c r="L458" t="s">
        <v>37</v>
      </c>
      <c r="M458">
        <f>YEAR(Table2[[#This Row],[Date of Admission]])</f>
        <v>2020</v>
      </c>
    </row>
    <row r="459" spans="1:13" x14ac:dyDescent="0.2">
      <c r="A459" t="s">
        <v>501</v>
      </c>
      <c r="B459">
        <v>39</v>
      </c>
      <c r="C459" t="s">
        <v>14</v>
      </c>
      <c r="D459" t="s">
        <v>39</v>
      </c>
      <c r="E459" t="s">
        <v>16</v>
      </c>
      <c r="F459" s="1">
        <v>44251</v>
      </c>
      <c r="G459" t="s">
        <v>31</v>
      </c>
      <c r="H459">
        <v>18062.596843506701</v>
      </c>
      <c r="I459" t="s">
        <v>18</v>
      </c>
      <c r="J459" s="1">
        <v>44272</v>
      </c>
      <c r="K459" t="s">
        <v>19</v>
      </c>
      <c r="L459" t="s">
        <v>27</v>
      </c>
      <c r="M459">
        <f>YEAR(Table2[[#This Row],[Date of Admission]])</f>
        <v>2021</v>
      </c>
    </row>
    <row r="460" spans="1:13" x14ac:dyDescent="0.2">
      <c r="A460" t="s">
        <v>502</v>
      </c>
      <c r="B460">
        <v>75</v>
      </c>
      <c r="C460" t="s">
        <v>14</v>
      </c>
      <c r="D460" t="s">
        <v>45</v>
      </c>
      <c r="E460" t="s">
        <v>52</v>
      </c>
      <c r="F460" s="1">
        <v>45114</v>
      </c>
      <c r="G460" t="s">
        <v>43</v>
      </c>
      <c r="H460">
        <v>30064.180790216498</v>
      </c>
      <c r="I460" t="s">
        <v>18</v>
      </c>
      <c r="J460" s="1">
        <v>45120</v>
      </c>
      <c r="K460" t="s">
        <v>19</v>
      </c>
      <c r="L460" t="s">
        <v>20</v>
      </c>
      <c r="M460">
        <f>YEAR(Table2[[#This Row],[Date of Admission]])</f>
        <v>2023</v>
      </c>
    </row>
    <row r="461" spans="1:13" x14ac:dyDescent="0.2">
      <c r="A461" t="s">
        <v>503</v>
      </c>
      <c r="B461">
        <v>46</v>
      </c>
      <c r="C461" t="s">
        <v>29</v>
      </c>
      <c r="D461" t="s">
        <v>34</v>
      </c>
      <c r="E461" t="s">
        <v>52</v>
      </c>
      <c r="F461" s="1">
        <v>45103</v>
      </c>
      <c r="G461" t="s">
        <v>17</v>
      </c>
      <c r="H461">
        <v>45440.792809669801</v>
      </c>
      <c r="I461" t="s">
        <v>36</v>
      </c>
      <c r="J461" s="1">
        <v>45130</v>
      </c>
      <c r="K461" t="s">
        <v>26</v>
      </c>
      <c r="L461" t="s">
        <v>27</v>
      </c>
      <c r="M461">
        <f>YEAR(Table2[[#This Row],[Date of Admission]])</f>
        <v>2023</v>
      </c>
    </row>
    <row r="462" spans="1:13" x14ac:dyDescent="0.2">
      <c r="A462" t="s">
        <v>504</v>
      </c>
      <c r="B462">
        <v>47</v>
      </c>
      <c r="C462" t="s">
        <v>14</v>
      </c>
      <c r="D462" t="s">
        <v>71</v>
      </c>
      <c r="E462" t="s">
        <v>23</v>
      </c>
      <c r="F462" s="1">
        <v>44512</v>
      </c>
      <c r="G462" t="s">
        <v>31</v>
      </c>
      <c r="H462">
        <v>12073.0672653691</v>
      </c>
      <c r="I462" t="s">
        <v>18</v>
      </c>
      <c r="J462" s="1">
        <v>44534</v>
      </c>
      <c r="K462" t="s">
        <v>19</v>
      </c>
      <c r="L462" t="s">
        <v>20</v>
      </c>
      <c r="M462">
        <f>YEAR(Table2[[#This Row],[Date of Admission]])</f>
        <v>2021</v>
      </c>
    </row>
    <row r="463" spans="1:13" x14ac:dyDescent="0.2">
      <c r="A463" t="s">
        <v>505</v>
      </c>
      <c r="B463">
        <v>38</v>
      </c>
      <c r="C463" t="s">
        <v>29</v>
      </c>
      <c r="D463" t="s">
        <v>34</v>
      </c>
      <c r="E463" t="s">
        <v>59</v>
      </c>
      <c r="F463" s="1">
        <v>44492</v>
      </c>
      <c r="G463" t="s">
        <v>43</v>
      </c>
      <c r="H463">
        <v>48065.462393153801</v>
      </c>
      <c r="I463" t="s">
        <v>18</v>
      </c>
      <c r="J463" s="1">
        <v>44508</v>
      </c>
      <c r="K463" t="s">
        <v>19</v>
      </c>
      <c r="L463" t="s">
        <v>37</v>
      </c>
      <c r="M463">
        <f>YEAR(Table2[[#This Row],[Date of Admission]])</f>
        <v>2021</v>
      </c>
    </row>
    <row r="464" spans="1:13" x14ac:dyDescent="0.2">
      <c r="A464" t="s">
        <v>506</v>
      </c>
      <c r="B464">
        <v>25</v>
      </c>
      <c r="C464" t="s">
        <v>29</v>
      </c>
      <c r="D464" t="s">
        <v>34</v>
      </c>
      <c r="E464" t="s">
        <v>59</v>
      </c>
      <c r="F464" s="1">
        <v>43799</v>
      </c>
      <c r="G464" t="s">
        <v>31</v>
      </c>
      <c r="H464">
        <v>16342.363733357601</v>
      </c>
      <c r="I464" t="s">
        <v>25</v>
      </c>
      <c r="J464" s="1">
        <v>43819</v>
      </c>
      <c r="K464" t="s">
        <v>53</v>
      </c>
      <c r="L464" t="s">
        <v>27</v>
      </c>
      <c r="M464">
        <f>YEAR(Table2[[#This Row],[Date of Admission]])</f>
        <v>2019</v>
      </c>
    </row>
    <row r="465" spans="1:13" x14ac:dyDescent="0.2">
      <c r="A465" t="s">
        <v>507</v>
      </c>
      <c r="B465">
        <v>65</v>
      </c>
      <c r="C465" t="s">
        <v>14</v>
      </c>
      <c r="D465" t="s">
        <v>39</v>
      </c>
      <c r="E465" t="s">
        <v>52</v>
      </c>
      <c r="F465" s="1">
        <v>45004</v>
      </c>
      <c r="G465" t="s">
        <v>47</v>
      </c>
      <c r="H465">
        <v>21767.231674942199</v>
      </c>
      <c r="I465" t="s">
        <v>36</v>
      </c>
      <c r="J465" s="1">
        <v>45032</v>
      </c>
      <c r="K465" t="s">
        <v>53</v>
      </c>
      <c r="L465" t="s">
        <v>20</v>
      </c>
      <c r="M465">
        <f>YEAR(Table2[[#This Row],[Date of Admission]])</f>
        <v>2023</v>
      </c>
    </row>
    <row r="466" spans="1:13" x14ac:dyDescent="0.2">
      <c r="A466" t="s">
        <v>508</v>
      </c>
      <c r="B466">
        <v>50</v>
      </c>
      <c r="C466" t="s">
        <v>29</v>
      </c>
      <c r="D466" t="s">
        <v>71</v>
      </c>
      <c r="E466" t="s">
        <v>52</v>
      </c>
      <c r="F466" s="1">
        <v>44594</v>
      </c>
      <c r="G466" t="s">
        <v>17</v>
      </c>
      <c r="H466">
        <v>16055.9303954196</v>
      </c>
      <c r="I466" t="s">
        <v>25</v>
      </c>
      <c r="J466" s="1">
        <v>44597</v>
      </c>
      <c r="K466" t="s">
        <v>32</v>
      </c>
      <c r="L466" t="s">
        <v>27</v>
      </c>
      <c r="M466">
        <f>YEAR(Table2[[#This Row],[Date of Admission]])</f>
        <v>2022</v>
      </c>
    </row>
    <row r="467" spans="1:13" x14ac:dyDescent="0.2">
      <c r="A467" t="s">
        <v>509</v>
      </c>
      <c r="B467">
        <v>40</v>
      </c>
      <c r="C467" t="s">
        <v>14</v>
      </c>
      <c r="D467" t="s">
        <v>39</v>
      </c>
      <c r="E467" t="s">
        <v>23</v>
      </c>
      <c r="F467" s="1">
        <v>45194</v>
      </c>
      <c r="G467" t="s">
        <v>43</v>
      </c>
      <c r="H467">
        <v>30123.538567926</v>
      </c>
      <c r="I467" t="s">
        <v>18</v>
      </c>
      <c r="J467" s="1">
        <v>45204</v>
      </c>
      <c r="K467" t="s">
        <v>32</v>
      </c>
      <c r="L467" t="s">
        <v>20</v>
      </c>
      <c r="M467">
        <f>YEAR(Table2[[#This Row],[Date of Admission]])</f>
        <v>2023</v>
      </c>
    </row>
    <row r="468" spans="1:13" x14ac:dyDescent="0.2">
      <c r="A468" t="s">
        <v>510</v>
      </c>
      <c r="B468">
        <v>70</v>
      </c>
      <c r="C468" t="s">
        <v>14</v>
      </c>
      <c r="D468" t="s">
        <v>63</v>
      </c>
      <c r="E468" t="s">
        <v>59</v>
      </c>
      <c r="F468" s="1">
        <v>44497</v>
      </c>
      <c r="G468" t="s">
        <v>43</v>
      </c>
      <c r="H468">
        <v>38572.169477915697</v>
      </c>
      <c r="I468" t="s">
        <v>25</v>
      </c>
      <c r="J468" s="1">
        <v>44500</v>
      </c>
      <c r="K468" t="s">
        <v>26</v>
      </c>
      <c r="L468" t="s">
        <v>27</v>
      </c>
      <c r="M468">
        <f>YEAR(Table2[[#This Row],[Date of Admission]])</f>
        <v>2021</v>
      </c>
    </row>
    <row r="469" spans="1:13" x14ac:dyDescent="0.2">
      <c r="A469" t="s">
        <v>511</v>
      </c>
      <c r="B469">
        <v>56</v>
      </c>
      <c r="C469" t="s">
        <v>29</v>
      </c>
      <c r="D469" t="s">
        <v>45</v>
      </c>
      <c r="E469" t="s">
        <v>52</v>
      </c>
      <c r="F469" s="1">
        <v>43998</v>
      </c>
      <c r="G469" t="s">
        <v>17</v>
      </c>
      <c r="H469">
        <v>37798.950587837899</v>
      </c>
      <c r="I469" t="s">
        <v>18</v>
      </c>
      <c r="J469" s="1">
        <v>44026</v>
      </c>
      <c r="K469" t="s">
        <v>26</v>
      </c>
      <c r="L469" t="s">
        <v>37</v>
      </c>
      <c r="M469">
        <f>YEAR(Table2[[#This Row],[Date of Admission]])</f>
        <v>2020</v>
      </c>
    </row>
    <row r="470" spans="1:13" x14ac:dyDescent="0.2">
      <c r="A470" t="s">
        <v>512</v>
      </c>
      <c r="B470">
        <v>25</v>
      </c>
      <c r="C470" t="s">
        <v>14</v>
      </c>
      <c r="D470" t="s">
        <v>34</v>
      </c>
      <c r="E470" t="s">
        <v>35</v>
      </c>
      <c r="F470" s="1">
        <v>44476</v>
      </c>
      <c r="G470" t="s">
        <v>24</v>
      </c>
      <c r="H470">
        <v>38716.355934862499</v>
      </c>
      <c r="I470" t="s">
        <v>25</v>
      </c>
      <c r="J470" s="1">
        <v>44506</v>
      </c>
      <c r="K470" t="s">
        <v>26</v>
      </c>
      <c r="L470" t="s">
        <v>20</v>
      </c>
      <c r="M470">
        <f>YEAR(Table2[[#This Row],[Date of Admission]])</f>
        <v>2021</v>
      </c>
    </row>
    <row r="471" spans="1:13" x14ac:dyDescent="0.2">
      <c r="A471" t="s">
        <v>513</v>
      </c>
      <c r="B471">
        <v>20</v>
      </c>
      <c r="C471" t="s">
        <v>14</v>
      </c>
      <c r="D471" t="s">
        <v>30</v>
      </c>
      <c r="E471" t="s">
        <v>35</v>
      </c>
      <c r="F471" s="1">
        <v>44315</v>
      </c>
      <c r="G471" t="s">
        <v>31</v>
      </c>
      <c r="H471">
        <v>13666.2833707318</v>
      </c>
      <c r="I471" t="s">
        <v>36</v>
      </c>
      <c r="J471" s="1">
        <v>44333</v>
      </c>
      <c r="K471" t="s">
        <v>19</v>
      </c>
      <c r="L471" t="s">
        <v>27</v>
      </c>
      <c r="M471">
        <f>YEAR(Table2[[#This Row],[Date of Admission]])</f>
        <v>2021</v>
      </c>
    </row>
    <row r="472" spans="1:13" x14ac:dyDescent="0.2">
      <c r="A472" t="s">
        <v>514</v>
      </c>
      <c r="B472">
        <v>73</v>
      </c>
      <c r="C472" t="s">
        <v>29</v>
      </c>
      <c r="D472" t="s">
        <v>45</v>
      </c>
      <c r="E472" t="s">
        <v>35</v>
      </c>
      <c r="F472" s="1">
        <v>43597</v>
      </c>
      <c r="G472" t="s">
        <v>47</v>
      </c>
      <c r="H472">
        <v>30753.688823307701</v>
      </c>
      <c r="I472" t="s">
        <v>36</v>
      </c>
      <c r="J472" s="1">
        <v>43623</v>
      </c>
      <c r="K472" t="s">
        <v>53</v>
      </c>
      <c r="L472" t="s">
        <v>37</v>
      </c>
      <c r="M472">
        <f>YEAR(Table2[[#This Row],[Date of Admission]])</f>
        <v>2019</v>
      </c>
    </row>
    <row r="473" spans="1:13" x14ac:dyDescent="0.2">
      <c r="A473" t="s">
        <v>515</v>
      </c>
      <c r="B473">
        <v>82</v>
      </c>
      <c r="C473" t="s">
        <v>14</v>
      </c>
      <c r="D473" t="s">
        <v>15</v>
      </c>
      <c r="E473" t="s">
        <v>23</v>
      </c>
      <c r="F473" s="1">
        <v>44451</v>
      </c>
      <c r="G473" t="s">
        <v>43</v>
      </c>
      <c r="H473">
        <v>44278.231656776297</v>
      </c>
      <c r="I473" t="s">
        <v>36</v>
      </c>
      <c r="J473" s="1">
        <v>44456</v>
      </c>
      <c r="K473" t="s">
        <v>32</v>
      </c>
      <c r="L473" t="s">
        <v>27</v>
      </c>
      <c r="M473">
        <f>YEAR(Table2[[#This Row],[Date of Admission]])</f>
        <v>2021</v>
      </c>
    </row>
    <row r="474" spans="1:13" x14ac:dyDescent="0.2">
      <c r="A474" t="s">
        <v>516</v>
      </c>
      <c r="B474">
        <v>31</v>
      </c>
      <c r="C474" t="s">
        <v>14</v>
      </c>
      <c r="D474" t="s">
        <v>63</v>
      </c>
      <c r="E474" t="s">
        <v>35</v>
      </c>
      <c r="F474" s="1">
        <v>44221</v>
      </c>
      <c r="G474" t="s">
        <v>31</v>
      </c>
      <c r="H474">
        <v>6267.5405617180704</v>
      </c>
      <c r="I474" t="s">
        <v>18</v>
      </c>
      <c r="J474" s="1">
        <v>44223</v>
      </c>
      <c r="K474" t="s">
        <v>26</v>
      </c>
      <c r="L474" t="s">
        <v>20</v>
      </c>
      <c r="M474">
        <f>YEAR(Table2[[#This Row],[Date of Admission]])</f>
        <v>2021</v>
      </c>
    </row>
    <row r="475" spans="1:13" x14ac:dyDescent="0.2">
      <c r="A475" t="s">
        <v>517</v>
      </c>
      <c r="B475">
        <v>74</v>
      </c>
      <c r="C475" t="s">
        <v>14</v>
      </c>
      <c r="D475" t="s">
        <v>71</v>
      </c>
      <c r="E475" t="s">
        <v>16</v>
      </c>
      <c r="F475" s="1">
        <v>43973</v>
      </c>
      <c r="G475" t="s">
        <v>31</v>
      </c>
      <c r="H475">
        <v>26276.7926635246</v>
      </c>
      <c r="I475" t="s">
        <v>36</v>
      </c>
      <c r="J475" s="1">
        <v>43999</v>
      </c>
      <c r="K475" t="s">
        <v>26</v>
      </c>
      <c r="L475" t="s">
        <v>20</v>
      </c>
      <c r="M475">
        <f>YEAR(Table2[[#This Row],[Date of Admission]])</f>
        <v>2020</v>
      </c>
    </row>
    <row r="476" spans="1:13" x14ac:dyDescent="0.2">
      <c r="A476" t="s">
        <v>518</v>
      </c>
      <c r="B476">
        <v>38</v>
      </c>
      <c r="C476" t="s">
        <v>29</v>
      </c>
      <c r="D476" t="s">
        <v>15</v>
      </c>
      <c r="E476" t="s">
        <v>42</v>
      </c>
      <c r="F476" s="1">
        <v>44732</v>
      </c>
      <c r="G476" t="s">
        <v>17</v>
      </c>
      <c r="H476">
        <v>33171.030088757099</v>
      </c>
      <c r="I476" t="s">
        <v>36</v>
      </c>
      <c r="J476" s="1">
        <v>44756</v>
      </c>
      <c r="K476" t="s">
        <v>32</v>
      </c>
      <c r="L476" t="s">
        <v>27</v>
      </c>
      <c r="M476">
        <f>YEAR(Table2[[#This Row],[Date of Admission]])</f>
        <v>2022</v>
      </c>
    </row>
    <row r="477" spans="1:13" x14ac:dyDescent="0.2">
      <c r="A477" t="s">
        <v>519</v>
      </c>
      <c r="B477">
        <v>63</v>
      </c>
      <c r="C477" t="s">
        <v>29</v>
      </c>
      <c r="D477" t="s">
        <v>45</v>
      </c>
      <c r="E477" t="s">
        <v>16</v>
      </c>
      <c r="F477" s="1">
        <v>44151</v>
      </c>
      <c r="G477" t="s">
        <v>43</v>
      </c>
      <c r="H477">
        <v>44984.241556250301</v>
      </c>
      <c r="I477" t="s">
        <v>36</v>
      </c>
      <c r="J477" s="1">
        <v>44171</v>
      </c>
      <c r="K477" t="s">
        <v>19</v>
      </c>
      <c r="L477" t="s">
        <v>20</v>
      </c>
      <c r="M477">
        <f>YEAR(Table2[[#This Row],[Date of Admission]])</f>
        <v>2020</v>
      </c>
    </row>
    <row r="478" spans="1:13" x14ac:dyDescent="0.2">
      <c r="A478" t="s">
        <v>520</v>
      </c>
      <c r="B478">
        <v>62</v>
      </c>
      <c r="C478" t="s">
        <v>29</v>
      </c>
      <c r="D478" t="s">
        <v>15</v>
      </c>
      <c r="E478" t="s">
        <v>23</v>
      </c>
      <c r="F478" s="1">
        <v>44113</v>
      </c>
      <c r="G478" t="s">
        <v>47</v>
      </c>
      <c r="H478">
        <v>27091.8603731937</v>
      </c>
      <c r="I478" t="s">
        <v>18</v>
      </c>
      <c r="J478" s="1">
        <v>44118</v>
      </c>
      <c r="K478" t="s">
        <v>26</v>
      </c>
      <c r="L478" t="s">
        <v>27</v>
      </c>
      <c r="M478">
        <f>YEAR(Table2[[#This Row],[Date of Admission]])</f>
        <v>2020</v>
      </c>
    </row>
    <row r="479" spans="1:13" x14ac:dyDescent="0.2">
      <c r="A479" t="s">
        <v>521</v>
      </c>
      <c r="B479">
        <v>80</v>
      </c>
      <c r="C479" t="s">
        <v>14</v>
      </c>
      <c r="D479" t="s">
        <v>34</v>
      </c>
      <c r="E479" t="s">
        <v>23</v>
      </c>
      <c r="F479" s="1">
        <v>45272</v>
      </c>
      <c r="G479" t="s">
        <v>43</v>
      </c>
      <c r="H479">
        <v>32387.925148602299</v>
      </c>
      <c r="I479" t="s">
        <v>18</v>
      </c>
      <c r="J479" s="1">
        <v>45287</v>
      </c>
      <c r="K479" t="s">
        <v>26</v>
      </c>
      <c r="L479" t="s">
        <v>20</v>
      </c>
      <c r="M479">
        <f>YEAR(Table2[[#This Row],[Date of Admission]])</f>
        <v>2023</v>
      </c>
    </row>
    <row r="480" spans="1:13" x14ac:dyDescent="0.2">
      <c r="A480" t="s">
        <v>522</v>
      </c>
      <c r="B480">
        <v>25</v>
      </c>
      <c r="C480" t="s">
        <v>29</v>
      </c>
      <c r="D480" t="s">
        <v>45</v>
      </c>
      <c r="E480" t="s">
        <v>16</v>
      </c>
      <c r="F480" s="1">
        <v>44726</v>
      </c>
      <c r="G480" t="s">
        <v>47</v>
      </c>
      <c r="H480">
        <v>32905.476793801201</v>
      </c>
      <c r="I480" t="s">
        <v>25</v>
      </c>
      <c r="J480" s="1">
        <v>44745</v>
      </c>
      <c r="K480" t="s">
        <v>53</v>
      </c>
      <c r="L480" t="s">
        <v>37</v>
      </c>
      <c r="M480">
        <f>YEAR(Table2[[#This Row],[Date of Admission]])</f>
        <v>2022</v>
      </c>
    </row>
    <row r="481" spans="1:13" x14ac:dyDescent="0.2">
      <c r="A481" t="s">
        <v>523</v>
      </c>
      <c r="B481">
        <v>51</v>
      </c>
      <c r="C481" t="s">
        <v>14</v>
      </c>
      <c r="D481" t="s">
        <v>30</v>
      </c>
      <c r="E481" t="s">
        <v>35</v>
      </c>
      <c r="F481" s="1">
        <v>44980</v>
      </c>
      <c r="G481" t="s">
        <v>17</v>
      </c>
      <c r="H481">
        <v>1332.3384328468901</v>
      </c>
      <c r="I481" t="s">
        <v>25</v>
      </c>
      <c r="J481" s="1">
        <v>45003</v>
      </c>
      <c r="K481" t="s">
        <v>32</v>
      </c>
      <c r="L481" t="s">
        <v>37</v>
      </c>
      <c r="M481">
        <f>YEAR(Table2[[#This Row],[Date of Admission]])</f>
        <v>2023</v>
      </c>
    </row>
    <row r="482" spans="1:13" x14ac:dyDescent="0.2">
      <c r="A482" t="s">
        <v>524</v>
      </c>
      <c r="B482">
        <v>46</v>
      </c>
      <c r="C482" t="s">
        <v>29</v>
      </c>
      <c r="D482" t="s">
        <v>39</v>
      </c>
      <c r="E482" t="s">
        <v>23</v>
      </c>
      <c r="F482" s="1">
        <v>45407</v>
      </c>
      <c r="G482" t="s">
        <v>31</v>
      </c>
      <c r="H482">
        <v>17702.569386018298</v>
      </c>
      <c r="I482" t="s">
        <v>18</v>
      </c>
      <c r="J482" s="1">
        <v>45424</v>
      </c>
      <c r="K482" t="s">
        <v>26</v>
      </c>
      <c r="L482" t="s">
        <v>27</v>
      </c>
      <c r="M482">
        <f>YEAR(Table2[[#This Row],[Date of Admission]])</f>
        <v>2024</v>
      </c>
    </row>
    <row r="483" spans="1:13" x14ac:dyDescent="0.2">
      <c r="A483" t="s">
        <v>525</v>
      </c>
      <c r="B483">
        <v>18</v>
      </c>
      <c r="C483" t="s">
        <v>29</v>
      </c>
      <c r="D483" t="s">
        <v>22</v>
      </c>
      <c r="E483" t="s">
        <v>42</v>
      </c>
      <c r="F483" s="1">
        <v>44720</v>
      </c>
      <c r="G483" t="s">
        <v>43</v>
      </c>
      <c r="H483">
        <v>33443.552486150104</v>
      </c>
      <c r="I483" t="s">
        <v>25</v>
      </c>
      <c r="J483" s="1">
        <v>44734</v>
      </c>
      <c r="K483" t="s">
        <v>40</v>
      </c>
      <c r="L483" t="s">
        <v>20</v>
      </c>
      <c r="M483">
        <f>YEAR(Table2[[#This Row],[Date of Admission]])</f>
        <v>2022</v>
      </c>
    </row>
    <row r="484" spans="1:13" x14ac:dyDescent="0.2">
      <c r="A484" t="s">
        <v>526</v>
      </c>
      <c r="B484">
        <v>30</v>
      </c>
      <c r="C484" t="s">
        <v>29</v>
      </c>
      <c r="D484" t="s">
        <v>15</v>
      </c>
      <c r="E484" t="s">
        <v>16</v>
      </c>
      <c r="F484" s="1">
        <v>45267</v>
      </c>
      <c r="G484" t="s">
        <v>47</v>
      </c>
      <c r="H484">
        <v>23175.497028595299</v>
      </c>
      <c r="I484" t="s">
        <v>25</v>
      </c>
      <c r="J484" s="1">
        <v>45284</v>
      </c>
      <c r="K484" t="s">
        <v>26</v>
      </c>
      <c r="L484" t="s">
        <v>20</v>
      </c>
      <c r="M484">
        <f>YEAR(Table2[[#This Row],[Date of Admission]])</f>
        <v>2023</v>
      </c>
    </row>
    <row r="485" spans="1:13" x14ac:dyDescent="0.2">
      <c r="A485" t="s">
        <v>527</v>
      </c>
      <c r="B485">
        <v>43</v>
      </c>
      <c r="C485" t="s">
        <v>14</v>
      </c>
      <c r="D485" t="s">
        <v>45</v>
      </c>
      <c r="E485" t="s">
        <v>16</v>
      </c>
      <c r="F485" s="1">
        <v>44138</v>
      </c>
      <c r="G485" t="s">
        <v>24</v>
      </c>
      <c r="H485">
        <v>14224.3122929117</v>
      </c>
      <c r="I485" t="s">
        <v>25</v>
      </c>
      <c r="J485" s="1">
        <v>44166</v>
      </c>
      <c r="K485" t="s">
        <v>19</v>
      </c>
      <c r="L485" t="s">
        <v>37</v>
      </c>
      <c r="M485">
        <f>YEAR(Table2[[#This Row],[Date of Admission]])</f>
        <v>2020</v>
      </c>
    </row>
    <row r="486" spans="1:13" x14ac:dyDescent="0.2">
      <c r="A486" t="s">
        <v>528</v>
      </c>
      <c r="B486">
        <v>21</v>
      </c>
      <c r="C486" t="s">
        <v>14</v>
      </c>
      <c r="D486" t="s">
        <v>39</v>
      </c>
      <c r="E486" t="s">
        <v>52</v>
      </c>
      <c r="F486" s="1">
        <v>45202</v>
      </c>
      <c r="G486" t="s">
        <v>24</v>
      </c>
      <c r="H486">
        <v>23483.496843877401</v>
      </c>
      <c r="I486" t="s">
        <v>18</v>
      </c>
      <c r="J486" s="1">
        <v>45217</v>
      </c>
      <c r="K486" t="s">
        <v>19</v>
      </c>
      <c r="L486" t="s">
        <v>20</v>
      </c>
      <c r="M486">
        <f>YEAR(Table2[[#This Row],[Date of Admission]])</f>
        <v>2023</v>
      </c>
    </row>
    <row r="487" spans="1:13" x14ac:dyDescent="0.2">
      <c r="A487" t="s">
        <v>529</v>
      </c>
      <c r="B487">
        <v>28</v>
      </c>
      <c r="C487" t="s">
        <v>29</v>
      </c>
      <c r="D487" t="s">
        <v>15</v>
      </c>
      <c r="E487" t="s">
        <v>52</v>
      </c>
      <c r="F487" s="1">
        <v>44723</v>
      </c>
      <c r="G487" t="s">
        <v>43</v>
      </c>
      <c r="H487">
        <v>31326.726717212299</v>
      </c>
      <c r="I487" t="s">
        <v>25</v>
      </c>
      <c r="J487" s="1">
        <v>44740</v>
      </c>
      <c r="K487" t="s">
        <v>19</v>
      </c>
      <c r="L487" t="s">
        <v>37</v>
      </c>
      <c r="M487">
        <f>YEAR(Table2[[#This Row],[Date of Admission]])</f>
        <v>2022</v>
      </c>
    </row>
    <row r="488" spans="1:13" x14ac:dyDescent="0.2">
      <c r="A488" t="s">
        <v>530</v>
      </c>
      <c r="B488">
        <v>26</v>
      </c>
      <c r="C488" t="s">
        <v>29</v>
      </c>
      <c r="D488" t="s">
        <v>71</v>
      </c>
      <c r="E488" t="s">
        <v>52</v>
      </c>
      <c r="F488" s="1">
        <v>44380</v>
      </c>
      <c r="G488" t="s">
        <v>31</v>
      </c>
      <c r="H488">
        <v>48651.736655009103</v>
      </c>
      <c r="I488" t="s">
        <v>18</v>
      </c>
      <c r="J488" s="1">
        <v>44406</v>
      </c>
      <c r="K488" t="s">
        <v>40</v>
      </c>
      <c r="L488" t="s">
        <v>27</v>
      </c>
      <c r="M488">
        <f>YEAR(Table2[[#This Row],[Date of Admission]])</f>
        <v>2021</v>
      </c>
    </row>
    <row r="489" spans="1:13" x14ac:dyDescent="0.2">
      <c r="A489" t="s">
        <v>531</v>
      </c>
      <c r="B489">
        <v>24</v>
      </c>
      <c r="C489" t="s">
        <v>14</v>
      </c>
      <c r="D489" t="s">
        <v>30</v>
      </c>
      <c r="E489" t="s">
        <v>42</v>
      </c>
      <c r="F489" s="1">
        <v>45370</v>
      </c>
      <c r="G489" t="s">
        <v>31</v>
      </c>
      <c r="H489">
        <v>18932.314667025501</v>
      </c>
      <c r="I489" t="s">
        <v>36</v>
      </c>
      <c r="J489" s="1">
        <v>45384</v>
      </c>
      <c r="K489" t="s">
        <v>40</v>
      </c>
      <c r="L489" t="s">
        <v>27</v>
      </c>
      <c r="M489">
        <f>YEAR(Table2[[#This Row],[Date of Admission]])</f>
        <v>2024</v>
      </c>
    </row>
    <row r="490" spans="1:13" x14ac:dyDescent="0.2">
      <c r="A490" t="s">
        <v>532</v>
      </c>
      <c r="B490">
        <v>55</v>
      </c>
      <c r="C490" t="s">
        <v>29</v>
      </c>
      <c r="D490" t="s">
        <v>45</v>
      </c>
      <c r="E490" t="s">
        <v>35</v>
      </c>
      <c r="F490" s="1">
        <v>45302</v>
      </c>
      <c r="G490" t="s">
        <v>17</v>
      </c>
      <c r="H490">
        <v>22063.229031651201</v>
      </c>
      <c r="I490" t="s">
        <v>36</v>
      </c>
      <c r="J490" s="1">
        <v>45321</v>
      </c>
      <c r="K490" t="s">
        <v>19</v>
      </c>
      <c r="L490" t="s">
        <v>27</v>
      </c>
      <c r="M490">
        <f>YEAR(Table2[[#This Row],[Date of Admission]])</f>
        <v>2024</v>
      </c>
    </row>
    <row r="491" spans="1:13" x14ac:dyDescent="0.2">
      <c r="A491" t="s">
        <v>533</v>
      </c>
      <c r="B491">
        <v>41</v>
      </c>
      <c r="C491" t="s">
        <v>29</v>
      </c>
      <c r="D491" t="s">
        <v>22</v>
      </c>
      <c r="E491" t="s">
        <v>16</v>
      </c>
      <c r="F491" s="1">
        <v>44373</v>
      </c>
      <c r="G491" t="s">
        <v>24</v>
      </c>
      <c r="H491">
        <v>20714.7067340701</v>
      </c>
      <c r="I491" t="s">
        <v>18</v>
      </c>
      <c r="J491" s="1">
        <v>44398</v>
      </c>
      <c r="K491" t="s">
        <v>53</v>
      </c>
      <c r="L491" t="s">
        <v>27</v>
      </c>
      <c r="M491">
        <f>YEAR(Table2[[#This Row],[Date of Admission]])</f>
        <v>2021</v>
      </c>
    </row>
    <row r="492" spans="1:13" x14ac:dyDescent="0.2">
      <c r="A492" t="s">
        <v>534</v>
      </c>
      <c r="B492">
        <v>85</v>
      </c>
      <c r="C492" t="s">
        <v>14</v>
      </c>
      <c r="D492" t="s">
        <v>34</v>
      </c>
      <c r="E492" t="s">
        <v>42</v>
      </c>
      <c r="F492" s="1">
        <v>45310</v>
      </c>
      <c r="G492" t="s">
        <v>43</v>
      </c>
      <c r="H492">
        <v>34510.884904131002</v>
      </c>
      <c r="I492" t="s">
        <v>36</v>
      </c>
      <c r="J492" s="1">
        <v>45327</v>
      </c>
      <c r="K492" t="s">
        <v>26</v>
      </c>
      <c r="L492" t="s">
        <v>27</v>
      </c>
      <c r="M492">
        <f>YEAR(Table2[[#This Row],[Date of Admission]])</f>
        <v>2024</v>
      </c>
    </row>
    <row r="493" spans="1:13" x14ac:dyDescent="0.2">
      <c r="A493" t="s">
        <v>535</v>
      </c>
      <c r="B493">
        <v>45</v>
      </c>
      <c r="C493" t="s">
        <v>14</v>
      </c>
      <c r="D493" t="s">
        <v>71</v>
      </c>
      <c r="E493" t="s">
        <v>52</v>
      </c>
      <c r="F493" s="1">
        <v>44180</v>
      </c>
      <c r="G493" t="s">
        <v>17</v>
      </c>
      <c r="H493">
        <v>42200.514654960003</v>
      </c>
      <c r="I493" t="s">
        <v>36</v>
      </c>
      <c r="J493" s="1">
        <v>44209</v>
      </c>
      <c r="K493" t="s">
        <v>53</v>
      </c>
      <c r="L493" t="s">
        <v>27</v>
      </c>
      <c r="M493">
        <f>YEAR(Table2[[#This Row],[Date of Admission]])</f>
        <v>2020</v>
      </c>
    </row>
    <row r="494" spans="1:13" x14ac:dyDescent="0.2">
      <c r="A494" t="s">
        <v>536</v>
      </c>
      <c r="B494">
        <v>22</v>
      </c>
      <c r="C494" t="s">
        <v>29</v>
      </c>
      <c r="D494" t="s">
        <v>63</v>
      </c>
      <c r="E494" t="s">
        <v>52</v>
      </c>
      <c r="F494" s="1">
        <v>44330</v>
      </c>
      <c r="G494" t="s">
        <v>47</v>
      </c>
      <c r="H494">
        <v>24451.289481047999</v>
      </c>
      <c r="I494" t="s">
        <v>25</v>
      </c>
      <c r="J494" s="1">
        <v>44344</v>
      </c>
      <c r="K494" t="s">
        <v>19</v>
      </c>
      <c r="L494" t="s">
        <v>37</v>
      </c>
      <c r="M494">
        <f>YEAR(Table2[[#This Row],[Date of Admission]])</f>
        <v>2021</v>
      </c>
    </row>
    <row r="495" spans="1:13" x14ac:dyDescent="0.2">
      <c r="A495" t="s">
        <v>537</v>
      </c>
      <c r="B495">
        <v>18</v>
      </c>
      <c r="C495" t="s">
        <v>14</v>
      </c>
      <c r="D495" t="s">
        <v>63</v>
      </c>
      <c r="E495" t="s">
        <v>35</v>
      </c>
      <c r="F495" s="1">
        <v>44387</v>
      </c>
      <c r="G495" t="s">
        <v>43</v>
      </c>
      <c r="H495">
        <v>30289.7049088163</v>
      </c>
      <c r="I495" t="s">
        <v>25</v>
      </c>
      <c r="J495" s="1">
        <v>44389</v>
      </c>
      <c r="K495" t="s">
        <v>19</v>
      </c>
      <c r="L495" t="s">
        <v>20</v>
      </c>
      <c r="M495">
        <f>YEAR(Table2[[#This Row],[Date of Admission]])</f>
        <v>2021</v>
      </c>
    </row>
    <row r="496" spans="1:13" x14ac:dyDescent="0.2">
      <c r="A496" t="s">
        <v>538</v>
      </c>
      <c r="B496">
        <v>60</v>
      </c>
      <c r="C496" t="s">
        <v>14</v>
      </c>
      <c r="D496" t="s">
        <v>15</v>
      </c>
      <c r="E496" t="s">
        <v>35</v>
      </c>
      <c r="F496" s="1">
        <v>44037</v>
      </c>
      <c r="G496" t="s">
        <v>24</v>
      </c>
      <c r="H496">
        <v>35317.493039750603</v>
      </c>
      <c r="I496" t="s">
        <v>18</v>
      </c>
      <c r="J496" s="1">
        <v>44041</v>
      </c>
      <c r="K496" t="s">
        <v>53</v>
      </c>
      <c r="L496" t="s">
        <v>20</v>
      </c>
      <c r="M496">
        <f>YEAR(Table2[[#This Row],[Date of Admission]])</f>
        <v>2020</v>
      </c>
    </row>
    <row r="497" spans="1:13" x14ac:dyDescent="0.2">
      <c r="A497" t="s">
        <v>539</v>
      </c>
      <c r="B497">
        <v>22</v>
      </c>
      <c r="C497" t="s">
        <v>29</v>
      </c>
      <c r="D497" t="s">
        <v>39</v>
      </c>
      <c r="E497" t="s">
        <v>23</v>
      </c>
      <c r="F497" s="1">
        <v>43725</v>
      </c>
      <c r="G497" t="s">
        <v>47</v>
      </c>
      <c r="H497">
        <v>8033.6116547124902</v>
      </c>
      <c r="I497" t="s">
        <v>36</v>
      </c>
      <c r="J497" s="1">
        <v>43739</v>
      </c>
      <c r="K497" t="s">
        <v>53</v>
      </c>
      <c r="L497" t="s">
        <v>27</v>
      </c>
      <c r="M497">
        <f>YEAR(Table2[[#This Row],[Date of Admission]])</f>
        <v>2019</v>
      </c>
    </row>
    <row r="498" spans="1:13" x14ac:dyDescent="0.2">
      <c r="A498" t="s">
        <v>540</v>
      </c>
      <c r="B498">
        <v>65</v>
      </c>
      <c r="C498" t="s">
        <v>29</v>
      </c>
      <c r="D498" t="s">
        <v>22</v>
      </c>
      <c r="E498" t="s">
        <v>23</v>
      </c>
      <c r="F498" s="1">
        <v>43599</v>
      </c>
      <c r="G498" t="s">
        <v>24</v>
      </c>
      <c r="H498">
        <v>7391.5347454366502</v>
      </c>
      <c r="I498" t="s">
        <v>36</v>
      </c>
      <c r="J498" s="1">
        <v>43605</v>
      </c>
      <c r="K498" t="s">
        <v>32</v>
      </c>
      <c r="L498" t="s">
        <v>27</v>
      </c>
      <c r="M498">
        <f>YEAR(Table2[[#This Row],[Date of Admission]])</f>
        <v>2019</v>
      </c>
    </row>
    <row r="499" spans="1:13" x14ac:dyDescent="0.2">
      <c r="A499" t="s">
        <v>541</v>
      </c>
      <c r="B499">
        <v>73</v>
      </c>
      <c r="C499" t="s">
        <v>29</v>
      </c>
      <c r="D499" t="s">
        <v>63</v>
      </c>
      <c r="E499" t="s">
        <v>42</v>
      </c>
      <c r="F499" s="1">
        <v>43982</v>
      </c>
      <c r="G499" t="s">
        <v>31</v>
      </c>
      <c r="H499">
        <v>35945.8844741879</v>
      </c>
      <c r="I499" t="s">
        <v>25</v>
      </c>
      <c r="J499" s="1">
        <v>44010</v>
      </c>
      <c r="K499" t="s">
        <v>26</v>
      </c>
      <c r="L499" t="s">
        <v>27</v>
      </c>
      <c r="M499">
        <f>YEAR(Table2[[#This Row],[Date of Admission]])</f>
        <v>2020</v>
      </c>
    </row>
    <row r="500" spans="1:13" x14ac:dyDescent="0.2">
      <c r="A500" t="s">
        <v>542</v>
      </c>
      <c r="B500">
        <v>82</v>
      </c>
      <c r="C500" t="s">
        <v>29</v>
      </c>
      <c r="D500" t="s">
        <v>39</v>
      </c>
      <c r="E500" t="s">
        <v>52</v>
      </c>
      <c r="F500" s="1">
        <v>43917</v>
      </c>
      <c r="G500" t="s">
        <v>24</v>
      </c>
      <c r="H500">
        <v>10780.7420078347</v>
      </c>
      <c r="I500" t="s">
        <v>25</v>
      </c>
      <c r="J500" s="1">
        <v>43925</v>
      </c>
      <c r="K500" t="s">
        <v>26</v>
      </c>
      <c r="L500" t="s">
        <v>27</v>
      </c>
      <c r="M500">
        <f>YEAR(Table2[[#This Row],[Date of Admission]])</f>
        <v>2020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soham</cp:lastModifiedBy>
  <dcterms:created xsi:type="dcterms:W3CDTF">2025-06-19T14:50:19Z</dcterms:created>
  <dcterms:modified xsi:type="dcterms:W3CDTF">2026-03-05T20:07:46Z</dcterms:modified>
</cp:coreProperties>
</file>